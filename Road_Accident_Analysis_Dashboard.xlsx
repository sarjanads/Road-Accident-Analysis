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nja\OneDrive\ドキュメント\Desktop\"/>
    </mc:Choice>
  </mc:AlternateContent>
  <xr:revisionPtr revIDLastSave="0" documentId="13_ncr:1_{2777C4AC-3BCC-48E4-AC13-D1A73834431E}" xr6:coauthVersionLast="47" xr6:coauthVersionMax="47" xr10:uidLastSave="{00000000-0000-0000-0000-000000000000}"/>
  <bookViews>
    <workbookView xWindow="-108" yWindow="-108" windowWidth="23256" windowHeight="12456" activeTab="4" xr2:uid="{7D2749F3-DAC3-4895-A9CC-D7AD9BD3F4AA}"/>
  </bookViews>
  <sheets>
    <sheet name="1 keypoint" sheetId="3" r:id="rId1"/>
    <sheet name="monthly trend" sheetId="5" r:id="rId2"/>
    <sheet name="road surface" sheetId="7" r:id="rId3"/>
    <sheet name="accident frequency" sheetId="12" r:id="rId4"/>
    <sheet name="Report" sheetId="10" r:id="rId5"/>
  </sheets>
  <definedNames>
    <definedName name="_xlchart.v1.0" hidden="1">'road surface'!$D$4:$D$7</definedName>
    <definedName name="_xlchart.v1.1" hidden="1">'road surface'!$E$4:$E$7</definedName>
    <definedName name="NativeTimeline_Accident_Date">#N/A</definedName>
    <definedName name="Slicer_Urban_or_Rural_Area">#N/A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7" l="1"/>
  <c r="D6" i="7"/>
  <c r="D7" i="7"/>
  <c r="D4" i="7"/>
  <c r="I3" i="5"/>
  <c r="I4" i="5"/>
  <c r="I5" i="5"/>
  <c r="I6" i="5"/>
  <c r="I7" i="5"/>
  <c r="I8" i="5"/>
  <c r="I9" i="5"/>
  <c r="I10" i="5"/>
  <c r="I11" i="5"/>
  <c r="I12" i="5"/>
  <c r="I13" i="5"/>
  <c r="I2" i="5"/>
  <c r="K11" i="5"/>
  <c r="J11" i="5"/>
  <c r="K6" i="5"/>
  <c r="K8" i="5"/>
  <c r="J8" i="5"/>
  <c r="J3" i="5"/>
  <c r="C31" i="3"/>
  <c r="E19" i="3"/>
  <c r="K9" i="5"/>
  <c r="J5" i="5"/>
  <c r="E23" i="3"/>
  <c r="C28" i="3"/>
  <c r="K12" i="5"/>
  <c r="C32" i="3"/>
  <c r="E6" i="7"/>
  <c r="J12" i="5"/>
  <c r="E5" i="7"/>
  <c r="K13" i="5"/>
  <c r="C33" i="3"/>
  <c r="E15" i="3"/>
  <c r="J13" i="5"/>
  <c r="E29" i="3"/>
  <c r="J2" i="5"/>
  <c r="C29" i="3"/>
  <c r="J9" i="5"/>
  <c r="K7" i="5"/>
  <c r="K10" i="5"/>
  <c r="J10" i="5"/>
  <c r="K4" i="5"/>
  <c r="J4" i="5"/>
  <c r="K5" i="5"/>
  <c r="E14" i="3"/>
  <c r="J6" i="5"/>
  <c r="E28" i="3"/>
  <c r="J7" i="5"/>
  <c r="E18" i="3"/>
  <c r="K2" i="5"/>
  <c r="E22" i="3"/>
  <c r="E4" i="7"/>
  <c r="K3" i="5"/>
  <c r="E7" i="7"/>
  <c r="C30" i="3"/>
  <c r="B4" i="3"/>
  <c r="G28" i="3" l="1"/>
  <c r="G29" i="3"/>
  <c r="G14" i="3"/>
  <c r="G15" i="3"/>
  <c r="G18" i="3"/>
  <c r="G19" i="3"/>
  <c r="G23" i="3"/>
  <c r="G22" i="3"/>
</calcChain>
</file>

<file path=xl/sharedStrings.xml><?xml version="1.0" encoding="utf-8"?>
<sst xmlns="http://schemas.openxmlformats.org/spreadsheetml/2006/main" count="108" uniqueCount="62">
  <si>
    <t>Thursday</t>
  </si>
  <si>
    <t>Serious</t>
  </si>
  <si>
    <t>Daylight</t>
  </si>
  <si>
    <t>Dry</t>
  </si>
  <si>
    <t>One way street</t>
  </si>
  <si>
    <t>Urban</t>
  </si>
  <si>
    <t>Car</t>
  </si>
  <si>
    <t>Monday</t>
  </si>
  <si>
    <t>Single carriageway</t>
  </si>
  <si>
    <t>Sunday</t>
  </si>
  <si>
    <t>Slight</t>
  </si>
  <si>
    <t>Tuesday</t>
  </si>
  <si>
    <t>Friday</t>
  </si>
  <si>
    <t>Dual carriageway</t>
  </si>
  <si>
    <t>Wednesday</t>
  </si>
  <si>
    <t>Saturday</t>
  </si>
  <si>
    <t>Roundabout</t>
  </si>
  <si>
    <t>Agricultural vehicle</t>
  </si>
  <si>
    <t>Slip road</t>
  </si>
  <si>
    <t>Fatal</t>
  </si>
  <si>
    <t>Rural</t>
  </si>
  <si>
    <t>Not Recorded</t>
  </si>
  <si>
    <t>Year</t>
  </si>
  <si>
    <t>Sum of Number_of_Casualties</t>
  </si>
  <si>
    <t>Row Labels</t>
  </si>
  <si>
    <t>Grand Total</t>
  </si>
  <si>
    <t>Fatal Severity</t>
  </si>
  <si>
    <t>Others</t>
  </si>
  <si>
    <t>Percentage</t>
  </si>
  <si>
    <t>Serious Severity</t>
  </si>
  <si>
    <t>Slight Severity</t>
  </si>
  <si>
    <t>Bus</t>
  </si>
  <si>
    <t>Cars</t>
  </si>
  <si>
    <t>Van</t>
  </si>
  <si>
    <t>Motorcycle</t>
  </si>
  <si>
    <t>Car Casualties</t>
  </si>
  <si>
    <t>January</t>
  </si>
  <si>
    <t>February</t>
  </si>
  <si>
    <t>March</t>
  </si>
  <si>
    <t>April</t>
  </si>
  <si>
    <t>May</t>
  </si>
  <si>
    <t>June</t>
  </si>
  <si>
    <t>July</t>
  </si>
  <si>
    <t>August</t>
  </si>
  <si>
    <t>September</t>
  </si>
  <si>
    <t>October</t>
  </si>
  <si>
    <t>November</t>
  </si>
  <si>
    <t>December</t>
  </si>
  <si>
    <t>2021</t>
  </si>
  <si>
    <t>2022</t>
  </si>
  <si>
    <t>month</t>
  </si>
  <si>
    <t>2021 casualties</t>
  </si>
  <si>
    <t>2022 casualties</t>
  </si>
  <si>
    <t>Wet</t>
  </si>
  <si>
    <t>Snow/Ice</t>
  </si>
  <si>
    <t>Road Surface</t>
  </si>
  <si>
    <t>No of Casualties</t>
  </si>
  <si>
    <t>Dark</t>
  </si>
  <si>
    <t>k</t>
  </si>
  <si>
    <t>=</t>
  </si>
  <si>
    <t>ROAD TYPE</t>
  </si>
  <si>
    <t>ROAD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</si>
</sst>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quot;k&quot;"/>
  </numFmts>
  <fonts count="2" x14ac:knownFonts="1">
    <font>
      <sz val="12"/>
      <color theme="1"/>
      <name val="Calibri"/>
      <family val="2"/>
      <scheme val="minor"/>
    </font>
    <font>
      <sz val="12"/>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3" borderId="0" xfId="0" applyFont="1" applyFill="1"/>
    <xf numFmtId="164" fontId="0" fillId="0" borderId="0" xfId="0" applyNumberFormat="1"/>
    <xf numFmtId="165" fontId="0" fillId="0" borderId="0" xfId="0" applyNumberFormat="1"/>
    <xf numFmtId="0" fontId="0" fillId="2" borderId="0" xfId="0" applyFill="1"/>
    <xf numFmtId="0" fontId="0" fillId="0" borderId="0" xfId="0" applyAlignment="1">
      <alignment horizontal="center"/>
    </xf>
    <xf numFmtId="0" fontId="0" fillId="0" borderId="0" xfId="0" applyNumberFormat="1"/>
  </cellXfs>
  <cellStyles count="1">
    <cellStyle name="Normal" xfId="0" builtinId="0"/>
  </cellStyles>
  <dxfs count="8">
    <dxf>
      <numFmt numFmtId="165" formatCode="0.0,&quot;k&quot;"/>
    </dxf>
    <dxf>
      <numFmt numFmtId="165" formatCode="0.0,&quot;k&quot;"/>
    </dxf>
    <dxf>
      <numFmt numFmtId="165" formatCode="0.0,&quot;k&quot;"/>
    </dxf>
    <dxf>
      <font>
        <b/>
        <i val="0"/>
        <sz val="11"/>
        <color rgb="FFFFFFFF"/>
      </font>
    </dxf>
    <dxf>
      <font>
        <color theme="0"/>
      </font>
      <fill>
        <patternFill patternType="solid">
          <fgColor theme="0"/>
          <bgColor rgb="FF1E1E2E"/>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1E1E2E"/>
        </patternFill>
      </fill>
    </dxf>
    <dxf>
      <font>
        <b/>
        <i val="0"/>
        <color theme="0"/>
      </font>
      <fill>
        <patternFill>
          <bgColor rgb="FF1E1E2E"/>
        </patternFill>
      </fill>
    </dxf>
    <dxf>
      <fill>
        <patternFill>
          <bgColor rgb="FF2C2F48"/>
        </patternFill>
      </fill>
    </dxf>
  </dxfs>
  <tableStyles count="3" defaultTableStyle="TableStyleMedium2" defaultPivotStyle="PivotStyleLight16">
    <tableStyle name="Slicer Style 1" pivot="0" table="0" count="4" xr9:uid="{1785299C-1E8E-41FD-AB04-427A24CAE87F}">
      <tableStyleElement type="wholeTable" dxfId="7"/>
      <tableStyleElement type="headerRow" dxfId="6"/>
    </tableStyle>
    <tableStyle name="Slicer Style 2" pivot="0" table="0" count="1" xr9:uid="{A2408D40-80C5-4B6D-8975-EB2CD67A993F}">
      <tableStyleElement type="wholeTable" dxfId="5"/>
    </tableStyle>
    <tableStyle name="Timeline Style 1" pivot="0" table="0" count="8" xr9:uid="{75181262-004E-4417-AF50-FEFF23FEB44B}">
      <tableStyleElement type="wholeTable" dxfId="4"/>
      <tableStyleElement type="headerRow" dxfId="3"/>
    </tableStyle>
  </tableStyles>
  <colors>
    <mruColors>
      <color rgb="FF38B6FF"/>
      <color rgb="FFFFFFFF"/>
      <color rgb="FF5DADE2"/>
      <color rgb="FF1E1E2E"/>
      <color rgb="FF2C2F48"/>
      <color rgb="FF2A2D3E"/>
      <color rgb="FFF44336"/>
      <color rgb="FF4CAF50"/>
      <color rgb="FF2196F3"/>
      <color rgb="FFFF9800"/>
    </mruColors>
  </colors>
  <extLst>
    <ext xmlns:x14="http://schemas.microsoft.com/office/spreadsheetml/2009/9/main" uri="{46F421CA-312F-682f-3DD2-61675219B42D}">
      <x14:dxfs count="2">
        <dxf>
          <font>
            <b/>
            <i val="0"/>
            <color theme="0"/>
          </font>
          <fill>
            <patternFill>
              <bgColor rgb="FF5DADE2"/>
            </patternFill>
          </fill>
        </dxf>
        <dxf>
          <font>
            <color theme="0"/>
          </font>
          <fill>
            <patternFill>
              <bgColor rgb="FF2C2F4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 name="Slicer Style 2"/>
      </x14:slicerStyles>
    </ext>
    <ext xmlns:x15="http://schemas.microsoft.com/office/spreadsheetml/2010/11/main" uri="{A0A4C193-F2C1-4fcb-8827-314CF55A85BB}">
      <x15:dxfs count="6">
        <dxf>
          <fill>
            <patternFill patternType="none">
              <fgColor indexed="64"/>
              <bgColor auto="1"/>
            </patternFill>
          </fill>
        </dxf>
        <dxf>
          <fill>
            <patternFill patternType="solid">
              <fgColor theme="0"/>
              <bgColor rgb="FF38B6FF"/>
            </patternFill>
          </fill>
        </dxf>
        <dxf>
          <font>
            <sz val="9"/>
            <color theme="1" tint="0.499984740745262"/>
          </font>
        </dxf>
        <dxf>
          <font>
            <sz val="9"/>
            <color theme="1" tint="0.499984740745262"/>
          </font>
        </dxf>
        <dxf>
          <font>
            <sz val="9"/>
            <color rgb="FFFFFFFF"/>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AF-437F-9E06-785AC0C78B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AF-437F-9E06-785AC0C78B65}"/>
              </c:ext>
            </c:extLst>
          </c:dPt>
          <c:val>
            <c:numRef>
              <c:f>'1 keypoint'!$G$28:$G$29</c:f>
              <c:numCache>
                <c:formatCode>0.0%</c:formatCode>
                <c:ptCount val="2"/>
                <c:pt idx="0">
                  <c:v>0.7980343780436151</c:v>
                </c:pt>
                <c:pt idx="1">
                  <c:v>0.20196562195638493</c:v>
                </c:pt>
              </c:numCache>
            </c:numRef>
          </c:val>
          <c:extLst>
            <c:ext xmlns:c16="http://schemas.microsoft.com/office/drawing/2014/chart" uri="{C3380CC4-5D6E-409C-BE32-E72D297353CC}">
              <c16:uniqueId val="{00000000-2935-4194-94B8-905CE6EFE47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6479-4D41-BE85-E9B04EAA7B47}"/>
              </c:ext>
            </c:extLst>
          </c:dPt>
          <c:dPt>
            <c:idx val="1"/>
            <c:bubble3D val="0"/>
            <c:spPr>
              <a:solidFill>
                <a:schemeClr val="accent2"/>
              </a:solidFill>
              <a:ln w="19050">
                <a:noFill/>
              </a:ln>
              <a:effectLst/>
            </c:spPr>
            <c:extLst>
              <c:ext xmlns:c16="http://schemas.microsoft.com/office/drawing/2014/chart" uri="{C3380CC4-5D6E-409C-BE32-E72D297353CC}">
                <c16:uniqueId val="{00000003-6479-4D41-BE85-E9B04EAA7B47}"/>
              </c:ext>
            </c:extLst>
          </c:dPt>
          <c:val>
            <c:numRef>
              <c:f>'1 keypoint'!$G$14:$G$15</c:f>
              <c:numCache>
                <c:formatCode>0.0%</c:formatCode>
                <c:ptCount val="2"/>
                <c:pt idx="0">
                  <c:v>1.7074157120533739E-2</c:v>
                </c:pt>
                <c:pt idx="1">
                  <c:v>0.98292584287946627</c:v>
                </c:pt>
              </c:numCache>
            </c:numRef>
          </c:val>
          <c:extLst>
            <c:ext xmlns:c16="http://schemas.microsoft.com/office/drawing/2014/chart" uri="{C3380CC4-5D6E-409C-BE32-E72D297353CC}">
              <c16:uniqueId val="{00000004-6479-4D41-BE85-E9B04EAA7B4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DC69-4897-9F8B-882DF16616D6}"/>
              </c:ext>
            </c:extLst>
          </c:dPt>
          <c:dPt>
            <c:idx val="1"/>
            <c:bubble3D val="0"/>
            <c:spPr>
              <a:solidFill>
                <a:schemeClr val="accent2"/>
              </a:solidFill>
              <a:ln w="19050">
                <a:noFill/>
              </a:ln>
              <a:effectLst/>
            </c:spPr>
            <c:extLst>
              <c:ext xmlns:c16="http://schemas.microsoft.com/office/drawing/2014/chart" uri="{C3380CC4-5D6E-409C-BE32-E72D297353CC}">
                <c16:uniqueId val="{00000003-DC69-4897-9F8B-882DF16616D6}"/>
              </c:ext>
            </c:extLst>
          </c:dPt>
          <c:val>
            <c:numRef>
              <c:f>'1 keypoint'!$G$18:$G$19</c:f>
              <c:numCache>
                <c:formatCode>0.0%</c:formatCode>
                <c:ptCount val="2"/>
                <c:pt idx="0">
                  <c:v>0.14193446491003461</c:v>
                </c:pt>
                <c:pt idx="1">
                  <c:v>0.85806553508996541</c:v>
                </c:pt>
              </c:numCache>
            </c:numRef>
          </c:val>
          <c:extLst>
            <c:ext xmlns:c16="http://schemas.microsoft.com/office/drawing/2014/chart" uri="{C3380CC4-5D6E-409C-BE32-E72D297353CC}">
              <c16:uniqueId val="{00000004-DC69-4897-9F8B-882DF16616D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7381-4465-9CA9-4C2D8BE52301}"/>
              </c:ext>
            </c:extLst>
          </c:dPt>
          <c:dPt>
            <c:idx val="1"/>
            <c:bubble3D val="0"/>
            <c:spPr>
              <a:solidFill>
                <a:schemeClr val="accent2"/>
              </a:solidFill>
              <a:ln w="19050">
                <a:noFill/>
              </a:ln>
              <a:effectLst/>
            </c:spPr>
            <c:extLst>
              <c:ext xmlns:c16="http://schemas.microsoft.com/office/drawing/2014/chart" uri="{C3380CC4-5D6E-409C-BE32-E72D297353CC}">
                <c16:uniqueId val="{00000003-7381-4465-9CA9-4C2D8BE52301}"/>
              </c:ext>
            </c:extLst>
          </c:dPt>
          <c:val>
            <c:numRef>
              <c:f>'1 keypoint'!$G$22:$G$23</c:f>
              <c:numCache>
                <c:formatCode>0.0%</c:formatCode>
                <c:ptCount val="2"/>
                <c:pt idx="0">
                  <c:v>0.84099137796943169</c:v>
                </c:pt>
                <c:pt idx="1">
                  <c:v>0.15900862203056837</c:v>
                </c:pt>
              </c:numCache>
            </c:numRef>
          </c:val>
          <c:extLst>
            <c:ext xmlns:c16="http://schemas.microsoft.com/office/drawing/2014/chart" uri="{C3380CC4-5D6E-409C-BE32-E72D297353CC}">
              <c16:uniqueId val="{00000004-7381-4465-9CA9-4C2D8BE5230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90081584167849E-2"/>
          <c:y val="0.21069636600613217"/>
          <c:w val="0.87209059306063186"/>
          <c:h val="0.4697445410251333"/>
        </c:manualLayout>
      </c:layout>
      <c:lineChart>
        <c:grouping val="standard"/>
        <c:varyColors val="0"/>
        <c:ser>
          <c:idx val="0"/>
          <c:order val="0"/>
          <c:tx>
            <c:strRef>
              <c:f>'monthly trend'!$J$1</c:f>
              <c:strCache>
                <c:ptCount val="1"/>
                <c:pt idx="0">
                  <c:v>2021 casualties</c:v>
                </c:pt>
              </c:strCache>
            </c:strRef>
          </c:tx>
          <c:spPr>
            <a:ln w="28575" cap="rnd">
              <a:solidFill>
                <a:srgbClr val="2196F3"/>
              </a:solidFill>
              <a:round/>
            </a:ln>
            <a:effectLst/>
          </c:spPr>
          <c:marker>
            <c:symbol val="none"/>
          </c:marker>
          <c:cat>
            <c:strRef>
              <c:f>'monthly trend'!$I$2:$I$13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trend'!$J$2:$J$13</c:f>
              <c:numCache>
                <c:formatCode>General</c:formatCode>
                <c:ptCount val="12"/>
                <c:pt idx="0">
                  <c:v>18173</c:v>
                </c:pt>
                <c:pt idx="1">
                  <c:v>14648</c:v>
                </c:pt>
                <c:pt idx="2">
                  <c:v>17815</c:v>
                </c:pt>
                <c:pt idx="3">
                  <c:v>17335</c:v>
                </c:pt>
                <c:pt idx="4">
                  <c:v>18852</c:v>
                </c:pt>
                <c:pt idx="5">
                  <c:v>18728</c:v>
                </c:pt>
                <c:pt idx="6">
                  <c:v>19682</c:v>
                </c:pt>
                <c:pt idx="7">
                  <c:v>18797</c:v>
                </c:pt>
                <c:pt idx="8">
                  <c:v>18456</c:v>
                </c:pt>
                <c:pt idx="9">
                  <c:v>20109</c:v>
                </c:pt>
                <c:pt idx="10">
                  <c:v>20975</c:v>
                </c:pt>
                <c:pt idx="11">
                  <c:v>18576</c:v>
                </c:pt>
              </c:numCache>
            </c:numRef>
          </c:val>
          <c:smooth val="0"/>
          <c:extLst>
            <c:ext xmlns:c16="http://schemas.microsoft.com/office/drawing/2014/chart" uri="{C3380CC4-5D6E-409C-BE32-E72D297353CC}">
              <c16:uniqueId val="{00000000-D4DB-4886-9AA8-60C8608DA5B8}"/>
            </c:ext>
          </c:extLst>
        </c:ser>
        <c:ser>
          <c:idx val="1"/>
          <c:order val="1"/>
          <c:tx>
            <c:strRef>
              <c:f>'monthly trend'!$K$1</c:f>
              <c:strCache>
                <c:ptCount val="1"/>
                <c:pt idx="0">
                  <c:v>2022 casualties</c:v>
                </c:pt>
              </c:strCache>
            </c:strRef>
          </c:tx>
          <c:spPr>
            <a:ln w="28575" cap="rnd">
              <a:solidFill>
                <a:srgbClr val="FF9800"/>
              </a:solidFill>
              <a:round/>
            </a:ln>
            <a:effectLst/>
          </c:spPr>
          <c:marker>
            <c:symbol val="none"/>
          </c:marker>
          <c:cat>
            <c:strRef>
              <c:f>'monthly trend'!$I$2:$I$13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trend'!$K$2:$K$13</c:f>
              <c:numCache>
                <c:formatCode>General</c:formatCode>
                <c:ptCount val="12"/>
                <c:pt idx="0">
                  <c:v>13163</c:v>
                </c:pt>
                <c:pt idx="1">
                  <c:v>14804</c:v>
                </c:pt>
                <c:pt idx="2">
                  <c:v>16575</c:v>
                </c:pt>
                <c:pt idx="3">
                  <c:v>15767</c:v>
                </c:pt>
                <c:pt idx="4">
                  <c:v>16775</c:v>
                </c:pt>
                <c:pt idx="5">
                  <c:v>17230</c:v>
                </c:pt>
                <c:pt idx="6">
                  <c:v>17201</c:v>
                </c:pt>
                <c:pt idx="7">
                  <c:v>16796</c:v>
                </c:pt>
                <c:pt idx="8">
                  <c:v>17500</c:v>
                </c:pt>
                <c:pt idx="9">
                  <c:v>18287</c:v>
                </c:pt>
                <c:pt idx="10">
                  <c:v>18439</c:v>
                </c:pt>
                <c:pt idx="11">
                  <c:v>13200</c:v>
                </c:pt>
              </c:numCache>
            </c:numRef>
          </c:val>
          <c:smooth val="0"/>
          <c:extLst>
            <c:ext xmlns:c16="http://schemas.microsoft.com/office/drawing/2014/chart" uri="{C3380CC4-5D6E-409C-BE32-E72D297353CC}">
              <c16:uniqueId val="{00000001-D4DB-4886-9AA8-60C8608DA5B8}"/>
            </c:ext>
          </c:extLst>
        </c:ser>
        <c:dLbls>
          <c:showLegendKey val="0"/>
          <c:showVal val="0"/>
          <c:showCatName val="0"/>
          <c:showSerName val="0"/>
          <c:showPercent val="0"/>
          <c:showBubbleSize val="0"/>
        </c:dLbls>
        <c:smooth val="0"/>
        <c:axId val="1864016575"/>
        <c:axId val="1864021855"/>
      </c:lineChart>
      <c:catAx>
        <c:axId val="186401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4021855"/>
        <c:crosses val="autoZero"/>
        <c:auto val="1"/>
        <c:lblAlgn val="ctr"/>
        <c:lblOffset val="100"/>
        <c:noMultiLvlLbl val="0"/>
      </c:catAx>
      <c:valAx>
        <c:axId val="186402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4016575"/>
        <c:crosses val="autoZero"/>
        <c:crossBetween val="between"/>
      </c:valAx>
      <c:spPr>
        <a:noFill/>
        <a:ln>
          <a:noFill/>
        </a:ln>
        <a:effectLst/>
      </c:spPr>
    </c:plotArea>
    <c:legend>
      <c:legendPos val="r"/>
      <c:layout>
        <c:manualLayout>
          <c:xMode val="edge"/>
          <c:yMode val="edge"/>
          <c:x val="0.23347818881361079"/>
          <c:y val="0"/>
          <c:w val="0.56991002023477899"/>
          <c:h val="0.18929907167098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4B5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64B5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Not Recorded</c:v>
              </c:pt>
              <c:pt idx="1">
                <c:v>Slip road</c:v>
              </c:pt>
              <c:pt idx="2">
                <c:v>One way street</c:v>
              </c:pt>
              <c:pt idx="3">
                <c:v>Roundabout</c:v>
              </c:pt>
              <c:pt idx="4">
                <c:v>Dual carriageway</c:v>
              </c:pt>
              <c:pt idx="5">
                <c:v>Single carriageway</c:v>
              </c:pt>
            </c:strLit>
          </c:cat>
          <c:val>
            <c:numLit>
              <c:formatCode>General</c:formatCode>
              <c:ptCount val="6"/>
              <c:pt idx="0">
                <c:v>1921</c:v>
              </c:pt>
              <c:pt idx="1">
                <c:v>4679</c:v>
              </c:pt>
              <c:pt idx="2">
                <c:v>7389</c:v>
              </c:pt>
              <c:pt idx="3">
                <c:v>26828</c:v>
              </c:pt>
              <c:pt idx="4">
                <c:v>67368</c:v>
              </c:pt>
              <c:pt idx="5">
                <c:v>309698</c:v>
              </c:pt>
            </c:numLit>
          </c:val>
          <c:extLst>
            <c:ext xmlns:c16="http://schemas.microsoft.com/office/drawing/2014/chart" uri="{C3380CC4-5D6E-409C-BE32-E72D297353CC}">
              <c16:uniqueId val="{00000000-69F3-48C7-B8E8-536F9B13885D}"/>
            </c:ext>
          </c:extLst>
        </c:ser>
        <c:dLbls>
          <c:dLblPos val="outEnd"/>
          <c:showLegendKey val="0"/>
          <c:showVal val="1"/>
          <c:showCatName val="0"/>
          <c:showSerName val="0"/>
          <c:showPercent val="0"/>
          <c:showBubbleSize val="0"/>
        </c:dLbls>
        <c:gapWidth val="182"/>
        <c:axId val="1864012735"/>
        <c:axId val="1864019455"/>
      </c:barChart>
      <c:catAx>
        <c:axId val="186401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4019455"/>
        <c:crosses val="autoZero"/>
        <c:auto val="1"/>
        <c:lblAlgn val="ctr"/>
        <c:lblOffset val="100"/>
        <c:noMultiLvlLbl val="0"/>
      </c:catAx>
      <c:valAx>
        <c:axId val="1864019455"/>
        <c:scaling>
          <c:orientation val="minMax"/>
        </c:scaling>
        <c:delete val="1"/>
        <c:axPos val="b"/>
        <c:numFmt formatCode="General" sourceLinked="1"/>
        <c:majorTickMark val="none"/>
        <c:minorTickMark val="none"/>
        <c:tickLblPos val="nextTo"/>
        <c:crossAx val="186401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2196F3"/>
          </a:solidFill>
          <a:ln w="19050">
            <a:noFill/>
          </a:ln>
          <a:effectLst/>
        </c:spPr>
        <c:dLbl>
          <c:idx val="0"/>
          <c:layout>
            <c:manualLayout>
              <c:x val="0.11470732571360903"/>
              <c:y val="-9.0791588266581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FF9800"/>
          </a:solidFill>
          <a:ln w="19050">
            <a:noFill/>
          </a:ln>
          <a:effectLst/>
        </c:spPr>
        <c:dLbl>
          <c:idx val="0"/>
          <c:layout>
            <c:manualLayout>
              <c:x val="-0.11470732571360903"/>
              <c:y val="-8.322466115931194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30788697330888654"/>
          <c:y val="0.1529263496395222"/>
          <c:w val="0.35873520203576231"/>
          <c:h val="0.69414730072095565"/>
        </c:manualLayout>
      </c:layout>
      <c:doughnutChart>
        <c:varyColors val="1"/>
        <c:ser>
          <c:idx val="0"/>
          <c:order val="0"/>
          <c:tx>
            <c:v>Total</c:v>
          </c:tx>
          <c:spPr>
            <a:ln>
              <a:noFill/>
            </a:ln>
          </c:spPr>
          <c:dPt>
            <c:idx val="0"/>
            <c:bubble3D val="0"/>
            <c:spPr>
              <a:solidFill>
                <a:srgbClr val="2196F3"/>
              </a:solidFill>
              <a:ln w="19050">
                <a:noFill/>
              </a:ln>
              <a:effectLst/>
            </c:spPr>
            <c:extLst>
              <c:ext xmlns:c16="http://schemas.microsoft.com/office/drawing/2014/chart" uri="{C3380CC4-5D6E-409C-BE32-E72D297353CC}">
                <c16:uniqueId val="{00000001-BCAD-4430-BC8C-B68A15DD2F36}"/>
              </c:ext>
            </c:extLst>
          </c:dPt>
          <c:dPt>
            <c:idx val="1"/>
            <c:bubble3D val="0"/>
            <c:spPr>
              <a:solidFill>
                <a:srgbClr val="FF9800"/>
              </a:solidFill>
              <a:ln w="19050">
                <a:noFill/>
              </a:ln>
              <a:effectLst/>
            </c:spPr>
            <c:extLst>
              <c:ext xmlns:c16="http://schemas.microsoft.com/office/drawing/2014/chart" uri="{C3380CC4-5D6E-409C-BE32-E72D297353CC}">
                <c16:uniqueId val="{00000003-BCAD-4430-BC8C-B68A15DD2F36}"/>
              </c:ext>
            </c:extLst>
          </c:dPt>
          <c:dLbls>
            <c:dLbl>
              <c:idx val="0"/>
              <c:layout>
                <c:manualLayout>
                  <c:x val="0.11470732571360903"/>
                  <c:y val="-9.079158826658130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CAD-4430-BC8C-B68A15DD2F36}"/>
                </c:ext>
              </c:extLst>
            </c:dLbl>
            <c:dLbl>
              <c:idx val="1"/>
              <c:layout>
                <c:manualLayout>
                  <c:x val="-0.11470732571360903"/>
                  <c:y val="-8.3224661159311945E-1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CAD-4430-BC8C-B68A15DD2F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Rural</c:v>
              </c:pt>
              <c:pt idx="1">
                <c:v>Urban</c:v>
              </c:pt>
            </c:strLit>
          </c:cat>
          <c:val>
            <c:numLit>
              <c:formatCode>General</c:formatCode>
              <c:ptCount val="2"/>
              <c:pt idx="0">
                <c:v>162019</c:v>
              </c:pt>
              <c:pt idx="1">
                <c:v>255864</c:v>
              </c:pt>
            </c:numLit>
          </c:val>
          <c:extLst>
            <c:ext xmlns:c16="http://schemas.microsoft.com/office/drawing/2014/chart" uri="{C3380CC4-5D6E-409C-BE32-E72D297353CC}">
              <c16:uniqueId val="{00000004-BCAD-4430-BC8C-B68A15DD2F3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4CAF50"/>
          </a:solidFill>
          <a:ln w="19050">
            <a:noFill/>
          </a:ln>
          <a:effectLst/>
        </c:spPr>
        <c:dLbl>
          <c:idx val="0"/>
          <c:layout>
            <c:manualLayout>
              <c:x val="0.16934985445990669"/>
              <c:y val="-5.78322987111200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44336"/>
          </a:solidFill>
          <a:ln w="19050">
            <a:noFill/>
          </a:ln>
          <a:effectLst/>
        </c:spPr>
        <c:dLbl>
          <c:idx val="0"/>
          <c:layout>
            <c:manualLayout>
              <c:x val="-0.16515045788641228"/>
              <c:y val="8.752577487853843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25368236149258"/>
          <c:y val="0.15496025573991834"/>
          <c:w val="0.34812710829072652"/>
          <c:h val="0.69007948852016332"/>
        </c:manualLayout>
      </c:layout>
      <c:doughnutChart>
        <c:varyColors val="1"/>
        <c:ser>
          <c:idx val="0"/>
          <c:order val="0"/>
          <c:tx>
            <c:v>Total</c:v>
          </c:tx>
          <c:spPr>
            <a:ln>
              <a:noFill/>
            </a:ln>
          </c:spPr>
          <c:dPt>
            <c:idx val="0"/>
            <c:bubble3D val="0"/>
            <c:spPr>
              <a:solidFill>
                <a:srgbClr val="4CAF50"/>
              </a:solidFill>
              <a:ln w="19050">
                <a:noFill/>
              </a:ln>
              <a:effectLst/>
            </c:spPr>
            <c:extLst>
              <c:ext xmlns:c16="http://schemas.microsoft.com/office/drawing/2014/chart" uri="{C3380CC4-5D6E-409C-BE32-E72D297353CC}">
                <c16:uniqueId val="{00000001-B959-4278-B62D-10691022DCD5}"/>
              </c:ext>
            </c:extLst>
          </c:dPt>
          <c:dPt>
            <c:idx val="1"/>
            <c:bubble3D val="0"/>
            <c:spPr>
              <a:solidFill>
                <a:srgbClr val="F44336"/>
              </a:solidFill>
              <a:ln w="19050">
                <a:noFill/>
              </a:ln>
              <a:effectLst/>
            </c:spPr>
            <c:extLst>
              <c:ext xmlns:c16="http://schemas.microsoft.com/office/drawing/2014/chart" uri="{C3380CC4-5D6E-409C-BE32-E72D297353CC}">
                <c16:uniqueId val="{00000003-B959-4278-B62D-10691022DCD5}"/>
              </c:ext>
            </c:extLst>
          </c:dPt>
          <c:dLbls>
            <c:dLbl>
              <c:idx val="0"/>
              <c:layout>
                <c:manualLayout>
                  <c:x val="0.16934985445990669"/>
                  <c:y val="-5.783229871112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59-4278-B62D-10691022DCD5}"/>
                </c:ext>
              </c:extLst>
            </c:dLbl>
            <c:dLbl>
              <c:idx val="1"/>
              <c:layout>
                <c:manualLayout>
                  <c:x val="-0.16515045788641228"/>
                  <c:y val="8.7525774878538434E-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59-4278-B62D-10691022DC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Daylight</c:v>
              </c:pt>
              <c:pt idx="1">
                <c:v>Dark</c:v>
              </c:pt>
            </c:strLit>
          </c:cat>
          <c:val>
            <c:numLit>
              <c:formatCode>General</c:formatCode>
              <c:ptCount val="2"/>
              <c:pt idx="0">
                <c:v>304963</c:v>
              </c:pt>
              <c:pt idx="1">
                <c:v>112920</c:v>
              </c:pt>
            </c:numLit>
          </c:val>
          <c:extLst>
            <c:ext xmlns:c16="http://schemas.microsoft.com/office/drawing/2014/chart" uri="{C3380CC4-5D6E-409C-BE32-E72D297353CC}">
              <c16:uniqueId val="{00000004-B959-4278-B62D-10691022DCD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 Accident Data.xlsx]accident frequency!PivotTable1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'accident frequency'!$B$3</c:f>
              <c:strCache>
                <c:ptCount val="1"/>
                <c:pt idx="0">
                  <c:v>Total</c:v>
                </c:pt>
              </c:strCache>
            </c:strRef>
          </c:tx>
          <c:spPr>
            <a:solidFill>
              <a:schemeClr val="accent1"/>
            </a:solidFill>
            <a:ln>
              <a:noFill/>
            </a:ln>
            <a:effectLst/>
          </c:spPr>
          <c:invertIfNegative val="0"/>
          <c:cat>
            <c:strRef>
              <c:f>'accident frequency'!$A$4:$A$11</c:f>
              <c:strCache>
                <c:ptCount val="7"/>
                <c:pt idx="0">
                  <c:v>Sunday</c:v>
                </c:pt>
                <c:pt idx="1">
                  <c:v>Monday</c:v>
                </c:pt>
                <c:pt idx="2">
                  <c:v>Tuesday</c:v>
                </c:pt>
                <c:pt idx="3">
                  <c:v>Wednesday</c:v>
                </c:pt>
                <c:pt idx="4">
                  <c:v>Thursday</c:v>
                </c:pt>
                <c:pt idx="5">
                  <c:v>Friday</c:v>
                </c:pt>
                <c:pt idx="6">
                  <c:v>Saturday</c:v>
                </c:pt>
              </c:strCache>
            </c:strRef>
          </c:cat>
          <c:val>
            <c:numRef>
              <c:f>'accident frequency'!$B$4:$B$11</c:f>
              <c:numCache>
                <c:formatCode>0.0,"k"</c:formatCode>
                <c:ptCount val="7"/>
                <c:pt idx="0">
                  <c:v>48858</c:v>
                </c:pt>
                <c:pt idx="1">
                  <c:v>58473</c:v>
                </c:pt>
                <c:pt idx="2">
                  <c:v>61278</c:v>
                </c:pt>
                <c:pt idx="3">
                  <c:v>61339</c:v>
                </c:pt>
                <c:pt idx="4">
                  <c:v>60551</c:v>
                </c:pt>
                <c:pt idx="5">
                  <c:v>68294</c:v>
                </c:pt>
                <c:pt idx="6">
                  <c:v>59090</c:v>
                </c:pt>
              </c:numCache>
            </c:numRef>
          </c:val>
          <c:extLst>
            <c:ext xmlns:c16="http://schemas.microsoft.com/office/drawing/2014/chart" uri="{C3380CC4-5D6E-409C-BE32-E72D297353CC}">
              <c16:uniqueId val="{00000000-44AA-4BEA-91C8-086F5426D479}"/>
            </c:ext>
          </c:extLst>
        </c:ser>
        <c:dLbls>
          <c:showLegendKey val="0"/>
          <c:showVal val="0"/>
          <c:showCatName val="0"/>
          <c:showSerName val="0"/>
          <c:showPercent val="0"/>
          <c:showBubbleSize val="0"/>
        </c:dLbls>
        <c:gapWidth val="182"/>
        <c:axId val="101903008"/>
        <c:axId val="101904928"/>
      </c:barChart>
      <c:catAx>
        <c:axId val="10190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904928"/>
        <c:crosses val="autoZero"/>
        <c:auto val="1"/>
        <c:lblAlgn val="ctr"/>
        <c:lblOffset val="100"/>
        <c:noMultiLvlLbl val="0"/>
      </c:catAx>
      <c:valAx>
        <c:axId val="101904928"/>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90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3E3A1D40-9C79-45F3-8AA5-753F92A4639D}">
          <cx:dataPt idx="0">
            <cx:spPr>
              <a:solidFill>
                <a:srgbClr val="3F51B5"/>
              </a:solidFill>
            </cx:spPr>
          </cx:dataPt>
          <cx:dataPt idx="2">
            <cx:spPr>
              <a:solidFill>
                <a:srgbClr val="FF9800"/>
              </a:solidFill>
            </cx:spPr>
          </cx:dataPt>
          <cx:dataPt idx="3">
            <cx:spPr>
              <a:solidFill>
                <a:srgbClr val="B0BEC5"/>
              </a:solidFill>
            </cx:spPr>
          </cx:dataPt>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1" value="0"/>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chart" Target="../charts/chart7.xml"/><Relationship Id="rId2" Type="http://schemas.openxmlformats.org/officeDocument/2006/relationships/chart" Target="../charts/chart3.xml"/><Relationship Id="rId16" Type="http://schemas.microsoft.com/office/2014/relationships/chartEx" Target="../charts/chartEx1.xml"/><Relationship Id="rId1" Type="http://schemas.openxmlformats.org/officeDocument/2006/relationships/chart" Target="../charts/chart2.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chart" Target="../charts/chart6.xml"/><Relationship Id="rId10" Type="http://schemas.openxmlformats.org/officeDocument/2006/relationships/image" Target="../media/image7.png"/><Relationship Id="rId19" Type="http://schemas.openxmlformats.org/officeDocument/2006/relationships/chart" Target="../charts/chart9.xml"/><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293370</xdr:colOff>
      <xdr:row>26</xdr:row>
      <xdr:rowOff>3810</xdr:rowOff>
    </xdr:from>
    <xdr:to>
      <xdr:col>9</xdr:col>
      <xdr:colOff>53340</xdr:colOff>
      <xdr:row>31</xdr:row>
      <xdr:rowOff>91440</xdr:rowOff>
    </xdr:to>
    <xdr:graphicFrame macro="">
      <xdr:nvGraphicFramePr>
        <xdr:cNvPr id="5" name="Chart 4">
          <a:extLst>
            <a:ext uri="{FF2B5EF4-FFF2-40B4-BE49-F238E27FC236}">
              <a16:creationId xmlns:a16="http://schemas.microsoft.com/office/drawing/2014/main" id="{5E0EDEB9-FDA2-B1FC-BF71-16B063950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116083</xdr:colOff>
      <xdr:row>1</xdr:row>
      <xdr:rowOff>134727</xdr:rowOff>
    </xdr:from>
    <xdr:to>
      <xdr:col>21</xdr:col>
      <xdr:colOff>381000</xdr:colOff>
      <xdr:row>4</xdr:row>
      <xdr:rowOff>166800</xdr:rowOff>
    </xdr:to>
    <xdr:sp macro="" textlink="">
      <xdr:nvSpPr>
        <xdr:cNvPr id="3" name="Rectangle: Rounded Corners 2">
          <a:extLst>
            <a:ext uri="{FF2B5EF4-FFF2-40B4-BE49-F238E27FC236}">
              <a16:creationId xmlns:a16="http://schemas.microsoft.com/office/drawing/2014/main" id="{555935AC-02C7-B468-289A-A3826792E443}"/>
            </a:ext>
          </a:extLst>
        </xdr:cNvPr>
        <xdr:cNvSpPr/>
      </xdr:nvSpPr>
      <xdr:spPr>
        <a:xfrm>
          <a:off x="1460789" y="336433"/>
          <a:ext cx="13039623" cy="637191"/>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130675</xdr:colOff>
      <xdr:row>5</xdr:row>
      <xdr:rowOff>88521</xdr:rowOff>
    </xdr:from>
    <xdr:to>
      <xdr:col>5</xdr:col>
      <xdr:colOff>627529</xdr:colOff>
      <xdr:row>11</xdr:row>
      <xdr:rowOff>1202</xdr:rowOff>
    </xdr:to>
    <xdr:sp macro="" textlink="">
      <xdr:nvSpPr>
        <xdr:cNvPr id="4" name="Rectangle: Rounded Corners 3">
          <a:extLst>
            <a:ext uri="{FF2B5EF4-FFF2-40B4-BE49-F238E27FC236}">
              <a16:creationId xmlns:a16="http://schemas.microsoft.com/office/drawing/2014/main" id="{AEF16BB2-F8D9-44A1-BCB1-CAD39E0DF5A4}"/>
            </a:ext>
          </a:extLst>
        </xdr:cNvPr>
        <xdr:cNvSpPr/>
      </xdr:nvSpPr>
      <xdr:spPr>
        <a:xfrm>
          <a:off x="1475381" y="1097050"/>
          <a:ext cx="2513913" cy="1122917"/>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6</xdr:col>
      <xdr:colOff>70560</xdr:colOff>
      <xdr:row>5</xdr:row>
      <xdr:rowOff>77315</xdr:rowOff>
    </xdr:from>
    <xdr:to>
      <xdr:col>9</xdr:col>
      <xdr:colOff>566302</xdr:colOff>
      <xdr:row>10</xdr:row>
      <xdr:rowOff>191702</xdr:rowOff>
    </xdr:to>
    <xdr:sp macro="" textlink="">
      <xdr:nvSpPr>
        <xdr:cNvPr id="5" name="Rectangle: Rounded Corners 4">
          <a:extLst>
            <a:ext uri="{FF2B5EF4-FFF2-40B4-BE49-F238E27FC236}">
              <a16:creationId xmlns:a16="http://schemas.microsoft.com/office/drawing/2014/main" id="{0AB120C2-CDEC-4745-9220-1092CED5B1CC}"/>
            </a:ext>
          </a:extLst>
        </xdr:cNvPr>
        <xdr:cNvSpPr/>
      </xdr:nvSpPr>
      <xdr:spPr>
        <a:xfrm>
          <a:off x="4104678" y="1085844"/>
          <a:ext cx="2512800" cy="1122917"/>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671116</xdr:colOff>
      <xdr:row>5</xdr:row>
      <xdr:rowOff>54903</xdr:rowOff>
    </xdr:from>
    <xdr:to>
      <xdr:col>13</xdr:col>
      <xdr:colOff>494504</xdr:colOff>
      <xdr:row>10</xdr:row>
      <xdr:rowOff>169290</xdr:rowOff>
    </xdr:to>
    <xdr:sp macro="" textlink="">
      <xdr:nvSpPr>
        <xdr:cNvPr id="6" name="Rectangle: Rounded Corners 5">
          <a:extLst>
            <a:ext uri="{FF2B5EF4-FFF2-40B4-BE49-F238E27FC236}">
              <a16:creationId xmlns:a16="http://schemas.microsoft.com/office/drawing/2014/main" id="{184D8552-048E-4642-95BC-96BD17E00D2A}"/>
            </a:ext>
          </a:extLst>
        </xdr:cNvPr>
        <xdr:cNvSpPr/>
      </xdr:nvSpPr>
      <xdr:spPr>
        <a:xfrm>
          <a:off x="6722292" y="1063432"/>
          <a:ext cx="2512800" cy="1122917"/>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178339</xdr:colOff>
      <xdr:row>1</xdr:row>
      <xdr:rowOff>162126</xdr:rowOff>
    </xdr:from>
    <xdr:to>
      <xdr:col>13</xdr:col>
      <xdr:colOff>212912</xdr:colOff>
      <xdr:row>4</xdr:row>
      <xdr:rowOff>121595</xdr:rowOff>
    </xdr:to>
    <xdr:sp macro="" textlink="">
      <xdr:nvSpPr>
        <xdr:cNvPr id="8" name="TextBox 7">
          <a:extLst>
            <a:ext uri="{FF2B5EF4-FFF2-40B4-BE49-F238E27FC236}">
              <a16:creationId xmlns:a16="http://schemas.microsoft.com/office/drawing/2014/main" id="{E965BBD8-008F-DB59-9772-B1942AAB14C4}"/>
            </a:ext>
          </a:extLst>
        </xdr:cNvPr>
        <xdr:cNvSpPr txBox="1"/>
      </xdr:nvSpPr>
      <xdr:spPr>
        <a:xfrm>
          <a:off x="1523045" y="363832"/>
          <a:ext cx="7430455" cy="564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Road Accident Analysis Dashboard (2021–2022)</a:t>
          </a:r>
        </a:p>
      </xdr:txBody>
    </xdr:sp>
    <xdr:clientData/>
  </xdr:twoCellAnchor>
  <xdr:twoCellAnchor>
    <xdr:from>
      <xdr:col>15</xdr:col>
      <xdr:colOff>382430</xdr:colOff>
      <xdr:row>2</xdr:row>
      <xdr:rowOff>31234</xdr:rowOff>
    </xdr:from>
    <xdr:to>
      <xdr:col>18</xdr:col>
      <xdr:colOff>277048</xdr:colOff>
      <xdr:row>3</xdr:row>
      <xdr:rowOff>192407</xdr:rowOff>
    </xdr:to>
    <xdr:sp macro="" textlink="">
      <xdr:nvSpPr>
        <xdr:cNvPr id="9" name="TextBox 8">
          <a:extLst>
            <a:ext uri="{FF2B5EF4-FFF2-40B4-BE49-F238E27FC236}">
              <a16:creationId xmlns:a16="http://schemas.microsoft.com/office/drawing/2014/main" id="{D01243CC-DFFA-2600-5B2E-2706BDA6AF8F}"/>
            </a:ext>
          </a:extLst>
        </xdr:cNvPr>
        <xdr:cNvSpPr txBox="1"/>
      </xdr:nvSpPr>
      <xdr:spPr>
        <a:xfrm>
          <a:off x="10467724" y="434646"/>
          <a:ext cx="1911677" cy="362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Total Casualties</a:t>
          </a:r>
        </a:p>
      </xdr:txBody>
    </xdr:sp>
    <xdr:clientData/>
  </xdr:twoCellAnchor>
  <xdr:twoCellAnchor>
    <xdr:from>
      <xdr:col>18</xdr:col>
      <xdr:colOff>356681</xdr:colOff>
      <xdr:row>2</xdr:row>
      <xdr:rowOff>14591</xdr:rowOff>
    </xdr:from>
    <xdr:to>
      <xdr:col>20</xdr:col>
      <xdr:colOff>476655</xdr:colOff>
      <xdr:row>3</xdr:row>
      <xdr:rowOff>168611</xdr:rowOff>
    </xdr:to>
    <xdr:sp macro="" textlink="'1 keypoint'!B4">
      <xdr:nvSpPr>
        <xdr:cNvPr id="10" name="TextBox 9">
          <a:extLst>
            <a:ext uri="{FF2B5EF4-FFF2-40B4-BE49-F238E27FC236}">
              <a16:creationId xmlns:a16="http://schemas.microsoft.com/office/drawing/2014/main" id="{F4CA964D-52A7-42E8-9C18-E9E7A5CC60CD}"/>
            </a:ext>
          </a:extLst>
        </xdr:cNvPr>
        <xdr:cNvSpPr txBox="1"/>
      </xdr:nvSpPr>
      <xdr:spPr>
        <a:xfrm>
          <a:off x="12467617" y="403697"/>
          <a:ext cx="1465634" cy="34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31E126-B746-403D-81DD-636C2CE0A3DF}" type="TxLink">
            <a:rPr lang="en-US" sz="2400" b="1" i="0" u="none" strike="noStrike">
              <a:solidFill>
                <a:schemeClr val="bg1"/>
              </a:solidFill>
              <a:latin typeface="Calibri"/>
              <a:ea typeface="Calibri"/>
              <a:cs typeface="Calibri"/>
            </a:rPr>
            <a:pPr/>
            <a:t>417883</a:t>
          </a:fld>
          <a:endParaRPr lang="en-IN" sz="2400" b="1">
            <a:solidFill>
              <a:schemeClr val="bg1"/>
            </a:solidFill>
          </a:endParaRPr>
        </a:p>
      </xdr:txBody>
    </xdr:sp>
    <xdr:clientData/>
  </xdr:twoCellAnchor>
  <xdr:twoCellAnchor>
    <xdr:from>
      <xdr:col>2</xdr:col>
      <xdr:colOff>302606</xdr:colOff>
      <xdr:row>6</xdr:row>
      <xdr:rowOff>33424</xdr:rowOff>
    </xdr:from>
    <xdr:to>
      <xdr:col>4</xdr:col>
      <xdr:colOff>312335</xdr:colOff>
      <xdr:row>7</xdr:row>
      <xdr:rowOff>171903</xdr:rowOff>
    </xdr:to>
    <xdr:sp macro="" textlink="">
      <xdr:nvSpPr>
        <xdr:cNvPr id="11" name="TextBox 10">
          <a:extLst>
            <a:ext uri="{FF2B5EF4-FFF2-40B4-BE49-F238E27FC236}">
              <a16:creationId xmlns:a16="http://schemas.microsoft.com/office/drawing/2014/main" id="{F002C20F-68DC-4C39-8388-064E40991776}"/>
            </a:ext>
          </a:extLst>
        </xdr:cNvPr>
        <xdr:cNvSpPr txBox="1"/>
      </xdr:nvSpPr>
      <xdr:spPr>
        <a:xfrm>
          <a:off x="1647312" y="1243659"/>
          <a:ext cx="1354435" cy="340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Fatal</a:t>
          </a:r>
          <a:r>
            <a:rPr lang="en-IN" sz="1400" b="1" baseline="0">
              <a:solidFill>
                <a:schemeClr val="bg1"/>
              </a:solidFill>
            </a:rPr>
            <a:t> Casualties</a:t>
          </a:r>
          <a:endParaRPr lang="en-IN" sz="1400" b="1">
            <a:solidFill>
              <a:schemeClr val="bg1"/>
            </a:solidFill>
          </a:endParaRPr>
        </a:p>
      </xdr:txBody>
    </xdr:sp>
    <xdr:clientData/>
  </xdr:twoCellAnchor>
  <xdr:twoCellAnchor>
    <xdr:from>
      <xdr:col>23</xdr:col>
      <xdr:colOff>308614</xdr:colOff>
      <xdr:row>7</xdr:row>
      <xdr:rowOff>94032</xdr:rowOff>
    </xdr:from>
    <xdr:to>
      <xdr:col>25</xdr:col>
      <xdr:colOff>318343</xdr:colOff>
      <xdr:row>9</xdr:row>
      <xdr:rowOff>30805</xdr:rowOff>
    </xdr:to>
    <xdr:sp macro="" textlink="">
      <xdr:nvSpPr>
        <xdr:cNvPr id="13" name="TextBox 12">
          <a:extLst>
            <a:ext uri="{FF2B5EF4-FFF2-40B4-BE49-F238E27FC236}">
              <a16:creationId xmlns:a16="http://schemas.microsoft.com/office/drawing/2014/main" id="{D5464E98-178E-4968-9437-0F638B79CE5B}"/>
            </a:ext>
          </a:extLst>
        </xdr:cNvPr>
        <xdr:cNvSpPr txBox="1"/>
      </xdr:nvSpPr>
      <xdr:spPr>
        <a:xfrm>
          <a:off x="15772732" y="1505973"/>
          <a:ext cx="1354435" cy="340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solidFill>
              <a:schemeClr val="bg1"/>
            </a:solidFill>
          </a:endParaRPr>
        </a:p>
      </xdr:txBody>
    </xdr:sp>
    <xdr:clientData/>
  </xdr:twoCellAnchor>
  <xdr:twoCellAnchor>
    <xdr:from>
      <xdr:col>10</xdr:col>
      <xdr:colOff>222113</xdr:colOff>
      <xdr:row>5</xdr:row>
      <xdr:rowOff>148440</xdr:rowOff>
    </xdr:from>
    <xdr:to>
      <xdr:col>12</xdr:col>
      <xdr:colOff>583182</xdr:colOff>
      <xdr:row>7</xdr:row>
      <xdr:rowOff>85213</xdr:rowOff>
    </xdr:to>
    <xdr:sp macro="" textlink="">
      <xdr:nvSpPr>
        <xdr:cNvPr id="14" name="TextBox 13">
          <a:extLst>
            <a:ext uri="{FF2B5EF4-FFF2-40B4-BE49-F238E27FC236}">
              <a16:creationId xmlns:a16="http://schemas.microsoft.com/office/drawing/2014/main" id="{1AB9ABC4-CED8-4BB9-A271-BACE70089B9A}"/>
            </a:ext>
          </a:extLst>
        </xdr:cNvPr>
        <xdr:cNvSpPr txBox="1"/>
      </xdr:nvSpPr>
      <xdr:spPr>
        <a:xfrm>
          <a:off x="6945642" y="1156969"/>
          <a:ext cx="1705775" cy="340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Slight Casualties</a:t>
          </a:r>
          <a:endParaRPr lang="en-IN" sz="1400" b="1">
            <a:solidFill>
              <a:schemeClr val="bg1"/>
            </a:solidFill>
          </a:endParaRPr>
        </a:p>
      </xdr:txBody>
    </xdr:sp>
    <xdr:clientData/>
  </xdr:twoCellAnchor>
  <xdr:twoCellAnchor>
    <xdr:from>
      <xdr:col>6</xdr:col>
      <xdr:colOff>196650</xdr:colOff>
      <xdr:row>5</xdr:row>
      <xdr:rowOff>198556</xdr:rowOff>
    </xdr:from>
    <xdr:to>
      <xdr:col>8</xdr:col>
      <xdr:colOff>470646</xdr:colOff>
      <xdr:row>7</xdr:row>
      <xdr:rowOff>135329</xdr:rowOff>
    </xdr:to>
    <xdr:sp macro="" textlink="">
      <xdr:nvSpPr>
        <xdr:cNvPr id="15" name="TextBox 14">
          <a:extLst>
            <a:ext uri="{FF2B5EF4-FFF2-40B4-BE49-F238E27FC236}">
              <a16:creationId xmlns:a16="http://schemas.microsoft.com/office/drawing/2014/main" id="{904CAB94-FA9E-4B79-9B0B-D24500560860}"/>
            </a:ext>
          </a:extLst>
        </xdr:cNvPr>
        <xdr:cNvSpPr txBox="1"/>
      </xdr:nvSpPr>
      <xdr:spPr>
        <a:xfrm>
          <a:off x="4230768" y="1207085"/>
          <a:ext cx="1618702" cy="340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Serious  Casualties</a:t>
          </a:r>
          <a:endParaRPr lang="en-IN" sz="1400" b="1">
            <a:solidFill>
              <a:schemeClr val="bg1"/>
            </a:solidFill>
          </a:endParaRPr>
        </a:p>
      </xdr:txBody>
    </xdr:sp>
    <xdr:clientData/>
  </xdr:twoCellAnchor>
  <xdr:twoCellAnchor>
    <xdr:from>
      <xdr:col>2</xdr:col>
      <xdr:colOff>466136</xdr:colOff>
      <xdr:row>7</xdr:row>
      <xdr:rowOff>87806</xdr:rowOff>
    </xdr:from>
    <xdr:to>
      <xdr:col>4</xdr:col>
      <xdr:colOff>586111</xdr:colOff>
      <xdr:row>9</xdr:row>
      <xdr:rowOff>40120</xdr:rowOff>
    </xdr:to>
    <xdr:sp macro="" textlink="'1 keypoint'!E14">
      <xdr:nvSpPr>
        <xdr:cNvPr id="16" name="TextBox 15">
          <a:extLst>
            <a:ext uri="{FF2B5EF4-FFF2-40B4-BE49-F238E27FC236}">
              <a16:creationId xmlns:a16="http://schemas.microsoft.com/office/drawing/2014/main" id="{FA932393-E928-4694-9F17-EB5F49ECCAE4}"/>
            </a:ext>
          </a:extLst>
        </xdr:cNvPr>
        <xdr:cNvSpPr txBox="1"/>
      </xdr:nvSpPr>
      <xdr:spPr>
        <a:xfrm>
          <a:off x="1810842" y="1499747"/>
          <a:ext cx="1464681" cy="35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BFA735-ACE6-43D3-A823-0D89DEB3B5E5}" type="TxLink">
            <a:rPr lang="en-US" sz="2000" b="0" i="0" u="none" strike="noStrike">
              <a:solidFill>
                <a:schemeClr val="bg1"/>
              </a:solidFill>
              <a:latin typeface="Calibri"/>
              <a:ea typeface="Calibri"/>
              <a:cs typeface="Calibri"/>
            </a:rPr>
            <a:pPr/>
            <a:t>7135</a:t>
          </a:fld>
          <a:endParaRPr lang="en-IN" sz="2000" b="1">
            <a:solidFill>
              <a:schemeClr val="bg1"/>
            </a:solidFill>
          </a:endParaRPr>
        </a:p>
      </xdr:txBody>
    </xdr:sp>
    <xdr:clientData/>
  </xdr:twoCellAnchor>
  <xdr:twoCellAnchor>
    <xdr:from>
      <xdr:col>6</xdr:col>
      <xdr:colOff>332587</xdr:colOff>
      <xdr:row>7</xdr:row>
      <xdr:rowOff>93699</xdr:rowOff>
    </xdr:from>
    <xdr:to>
      <xdr:col>8</xdr:col>
      <xdr:colOff>452561</xdr:colOff>
      <xdr:row>9</xdr:row>
      <xdr:rowOff>85593</xdr:rowOff>
    </xdr:to>
    <xdr:sp macro="" textlink="'1 keypoint'!E18">
      <xdr:nvSpPr>
        <xdr:cNvPr id="17" name="TextBox 16">
          <a:extLst>
            <a:ext uri="{FF2B5EF4-FFF2-40B4-BE49-F238E27FC236}">
              <a16:creationId xmlns:a16="http://schemas.microsoft.com/office/drawing/2014/main" id="{0E8B7A0D-A82C-4DD6-A7D3-D1EBCC115489}"/>
            </a:ext>
          </a:extLst>
        </xdr:cNvPr>
        <xdr:cNvSpPr txBox="1"/>
      </xdr:nvSpPr>
      <xdr:spPr>
        <a:xfrm>
          <a:off x="4366705" y="1505640"/>
          <a:ext cx="1464680" cy="395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6D3B69-F830-45B3-9E99-E604A03721FC}" type="TxLink">
            <a:rPr lang="en-US" sz="2000" b="0" i="0" u="none" strike="noStrike">
              <a:solidFill>
                <a:schemeClr val="bg1"/>
              </a:solidFill>
              <a:latin typeface="Calibri"/>
              <a:ea typeface="Calibri"/>
              <a:cs typeface="Calibri"/>
            </a:rPr>
            <a:pPr/>
            <a:t>59312</a:t>
          </a:fld>
          <a:endParaRPr lang="en-IN" sz="2000" b="1">
            <a:solidFill>
              <a:schemeClr val="bg1"/>
            </a:solidFill>
          </a:endParaRPr>
        </a:p>
      </xdr:txBody>
    </xdr:sp>
    <xdr:clientData/>
  </xdr:twoCellAnchor>
  <xdr:twoCellAnchor>
    <xdr:from>
      <xdr:col>10</xdr:col>
      <xdr:colOff>291310</xdr:colOff>
      <xdr:row>7</xdr:row>
      <xdr:rowOff>29868</xdr:rowOff>
    </xdr:from>
    <xdr:to>
      <xdr:col>12</xdr:col>
      <xdr:colOff>411284</xdr:colOff>
      <xdr:row>8</xdr:row>
      <xdr:rowOff>183888</xdr:rowOff>
    </xdr:to>
    <xdr:sp macro="" textlink="'1 keypoint'!E22">
      <xdr:nvSpPr>
        <xdr:cNvPr id="18" name="TextBox 17">
          <a:extLst>
            <a:ext uri="{FF2B5EF4-FFF2-40B4-BE49-F238E27FC236}">
              <a16:creationId xmlns:a16="http://schemas.microsoft.com/office/drawing/2014/main" id="{E6E16D28-760D-448A-86B6-08E10C99F064}"/>
            </a:ext>
          </a:extLst>
        </xdr:cNvPr>
        <xdr:cNvSpPr txBox="1"/>
      </xdr:nvSpPr>
      <xdr:spPr>
        <a:xfrm>
          <a:off x="7014839" y="1441809"/>
          <a:ext cx="1464680" cy="35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671BD1-AAF3-4D8A-B531-DF660E933266}" type="TxLink">
            <a:rPr lang="en-US" sz="2000" b="0" i="0" u="none" strike="noStrike">
              <a:solidFill>
                <a:schemeClr val="bg1"/>
              </a:solidFill>
              <a:latin typeface="Calibri"/>
              <a:ea typeface="Calibri"/>
              <a:cs typeface="Calibri"/>
            </a:rPr>
            <a:pPr/>
            <a:t>351436</a:t>
          </a:fld>
          <a:endParaRPr lang="en-IN" sz="2000" b="1">
            <a:solidFill>
              <a:schemeClr val="bg1"/>
            </a:solidFill>
          </a:endParaRPr>
        </a:p>
      </xdr:txBody>
    </xdr:sp>
    <xdr:clientData/>
  </xdr:twoCellAnchor>
  <xdr:twoCellAnchor>
    <xdr:from>
      <xdr:col>4</xdr:col>
      <xdr:colOff>187419</xdr:colOff>
      <xdr:row>5</xdr:row>
      <xdr:rowOff>104734</xdr:rowOff>
    </xdr:from>
    <xdr:to>
      <xdr:col>5</xdr:col>
      <xdr:colOff>591451</xdr:colOff>
      <xdr:row>11</xdr:row>
      <xdr:rowOff>4863</xdr:rowOff>
    </xdr:to>
    <xdr:graphicFrame macro="">
      <xdr:nvGraphicFramePr>
        <xdr:cNvPr id="20" name="Chart 19">
          <a:extLst>
            <a:ext uri="{FF2B5EF4-FFF2-40B4-BE49-F238E27FC236}">
              <a16:creationId xmlns:a16="http://schemas.microsoft.com/office/drawing/2014/main" id="{921475B5-B4C1-4FA0-B93A-B1435CCE0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243164</xdr:colOff>
      <xdr:row>5</xdr:row>
      <xdr:rowOff>59910</xdr:rowOff>
    </xdr:from>
    <xdr:to>
      <xdr:col>9</xdr:col>
      <xdr:colOff>647198</xdr:colOff>
      <xdr:row>10</xdr:row>
      <xdr:rowOff>161745</xdr:rowOff>
    </xdr:to>
    <xdr:graphicFrame macro="">
      <xdr:nvGraphicFramePr>
        <xdr:cNvPr id="21" name="Chart 20">
          <a:extLst>
            <a:ext uri="{FF2B5EF4-FFF2-40B4-BE49-F238E27FC236}">
              <a16:creationId xmlns:a16="http://schemas.microsoft.com/office/drawing/2014/main" id="{41717601-A39D-4E0B-A766-946D74D61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119620</xdr:colOff>
      <xdr:row>5</xdr:row>
      <xdr:rowOff>71117</xdr:rowOff>
    </xdr:from>
    <xdr:to>
      <xdr:col>13</xdr:col>
      <xdr:colOff>523652</xdr:colOff>
      <xdr:row>10</xdr:row>
      <xdr:rowOff>172952</xdr:rowOff>
    </xdr:to>
    <xdr:graphicFrame macro="">
      <xdr:nvGraphicFramePr>
        <xdr:cNvPr id="22" name="Chart 21">
          <a:extLst>
            <a:ext uri="{FF2B5EF4-FFF2-40B4-BE49-F238E27FC236}">
              <a16:creationId xmlns:a16="http://schemas.microsoft.com/office/drawing/2014/main" id="{760C008F-FA04-42A7-9E9F-074312C25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124047</xdr:colOff>
      <xdr:row>11</xdr:row>
      <xdr:rowOff>85710</xdr:rowOff>
    </xdr:from>
    <xdr:to>
      <xdr:col>4</xdr:col>
      <xdr:colOff>631372</xdr:colOff>
      <xdr:row>34</xdr:row>
      <xdr:rowOff>74986</xdr:rowOff>
    </xdr:to>
    <xdr:sp macro="" textlink="">
      <xdr:nvSpPr>
        <xdr:cNvPr id="24" name="Rectangle: Rounded Corners 23">
          <a:extLst>
            <a:ext uri="{FF2B5EF4-FFF2-40B4-BE49-F238E27FC236}">
              <a16:creationId xmlns:a16="http://schemas.microsoft.com/office/drawing/2014/main" id="{CB34CB20-AAF4-4B3C-95C5-B1FA1BCEB01E}"/>
            </a:ext>
          </a:extLst>
        </xdr:cNvPr>
        <xdr:cNvSpPr/>
      </xdr:nvSpPr>
      <xdr:spPr>
        <a:xfrm>
          <a:off x="1473876" y="2241081"/>
          <a:ext cx="1857153" cy="4495962"/>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2</xdr:col>
      <xdr:colOff>316149</xdr:colOff>
      <xdr:row>14</xdr:row>
      <xdr:rowOff>0</xdr:rowOff>
    </xdr:from>
    <xdr:to>
      <xdr:col>3</xdr:col>
      <xdr:colOff>183320</xdr:colOff>
      <xdr:row>16</xdr:row>
      <xdr:rowOff>150894</xdr:rowOff>
    </xdr:to>
    <xdr:pic>
      <xdr:nvPicPr>
        <xdr:cNvPr id="26" name="Graphic 25" descr="Car with solid fill">
          <a:extLst>
            <a:ext uri="{FF2B5EF4-FFF2-40B4-BE49-F238E27FC236}">
              <a16:creationId xmlns:a16="http://schemas.microsoft.com/office/drawing/2014/main" id="{D3E3AF61-04D7-B6C6-457A-2A3D0AF05BA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61809" y="2723745"/>
          <a:ext cx="540000" cy="540000"/>
        </a:xfrm>
        <a:prstGeom prst="rect">
          <a:avLst/>
        </a:prstGeom>
      </xdr:spPr>
    </xdr:pic>
    <xdr:clientData/>
  </xdr:twoCellAnchor>
  <xdr:twoCellAnchor editAs="oneCell">
    <xdr:from>
      <xdr:col>2</xdr:col>
      <xdr:colOff>320235</xdr:colOff>
      <xdr:row>17</xdr:row>
      <xdr:rowOff>68937</xdr:rowOff>
    </xdr:from>
    <xdr:to>
      <xdr:col>3</xdr:col>
      <xdr:colOff>187406</xdr:colOff>
      <xdr:row>20</xdr:row>
      <xdr:rowOff>25277</xdr:rowOff>
    </xdr:to>
    <xdr:pic>
      <xdr:nvPicPr>
        <xdr:cNvPr id="28" name="Graphic 27" descr="Truck with solid fill">
          <a:extLst>
            <a:ext uri="{FF2B5EF4-FFF2-40B4-BE49-F238E27FC236}">
              <a16:creationId xmlns:a16="http://schemas.microsoft.com/office/drawing/2014/main" id="{A075B857-E8D0-BDC2-3227-EEB939014AA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65895" y="3376341"/>
          <a:ext cx="540000" cy="540000"/>
        </a:xfrm>
        <a:prstGeom prst="rect">
          <a:avLst/>
        </a:prstGeom>
      </xdr:spPr>
    </xdr:pic>
    <xdr:clientData/>
  </xdr:twoCellAnchor>
  <xdr:twoCellAnchor editAs="oneCell">
    <xdr:from>
      <xdr:col>2</xdr:col>
      <xdr:colOff>316213</xdr:colOff>
      <xdr:row>20</xdr:row>
      <xdr:rowOff>145978</xdr:rowOff>
    </xdr:from>
    <xdr:to>
      <xdr:col>3</xdr:col>
      <xdr:colOff>183384</xdr:colOff>
      <xdr:row>23</xdr:row>
      <xdr:rowOff>102319</xdr:rowOff>
    </xdr:to>
    <xdr:pic>
      <xdr:nvPicPr>
        <xdr:cNvPr id="30" name="Graphic 29" descr="Bus with solid fill">
          <a:extLst>
            <a:ext uri="{FF2B5EF4-FFF2-40B4-BE49-F238E27FC236}">
              <a16:creationId xmlns:a16="http://schemas.microsoft.com/office/drawing/2014/main" id="{F7E29B2E-2ABF-BDCD-7D71-0F288704B7E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61873" y="4037042"/>
          <a:ext cx="540000" cy="540000"/>
        </a:xfrm>
        <a:prstGeom prst="rect">
          <a:avLst/>
        </a:prstGeom>
      </xdr:spPr>
    </xdr:pic>
    <xdr:clientData/>
  </xdr:twoCellAnchor>
  <xdr:twoCellAnchor editAs="oneCell">
    <xdr:from>
      <xdr:col>2</xdr:col>
      <xdr:colOff>291831</xdr:colOff>
      <xdr:row>31</xdr:row>
      <xdr:rowOff>64852</xdr:rowOff>
    </xdr:from>
    <xdr:to>
      <xdr:col>3</xdr:col>
      <xdr:colOff>159002</xdr:colOff>
      <xdr:row>34</xdr:row>
      <xdr:rowOff>21192</xdr:rowOff>
    </xdr:to>
    <xdr:pic>
      <xdr:nvPicPr>
        <xdr:cNvPr id="32" name="Graphic 31" descr="No sign with solid fill">
          <a:extLst>
            <a:ext uri="{FF2B5EF4-FFF2-40B4-BE49-F238E27FC236}">
              <a16:creationId xmlns:a16="http://schemas.microsoft.com/office/drawing/2014/main" id="{37D0A124-2243-1941-7E80-BF5C306AF1E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37491" y="6096001"/>
          <a:ext cx="540000" cy="540000"/>
        </a:xfrm>
        <a:prstGeom prst="rect">
          <a:avLst/>
        </a:prstGeom>
      </xdr:spPr>
    </xdr:pic>
    <xdr:clientData/>
  </xdr:twoCellAnchor>
  <xdr:twoCellAnchor editAs="oneCell">
    <xdr:from>
      <xdr:col>2</xdr:col>
      <xdr:colOff>308043</xdr:colOff>
      <xdr:row>27</xdr:row>
      <xdr:rowOff>186447</xdr:rowOff>
    </xdr:from>
    <xdr:to>
      <xdr:col>3</xdr:col>
      <xdr:colOff>175214</xdr:colOff>
      <xdr:row>30</xdr:row>
      <xdr:rowOff>142787</xdr:rowOff>
    </xdr:to>
    <xdr:pic>
      <xdr:nvPicPr>
        <xdr:cNvPr id="34" name="Picture 33">
          <a:extLst>
            <a:ext uri="{FF2B5EF4-FFF2-40B4-BE49-F238E27FC236}">
              <a16:creationId xmlns:a16="http://schemas.microsoft.com/office/drawing/2014/main" id="{BA56509F-0AB0-D9EB-825C-BEAB106013E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53703" y="5439383"/>
          <a:ext cx="540000" cy="540000"/>
        </a:xfrm>
        <a:prstGeom prst="rect">
          <a:avLst/>
        </a:prstGeom>
      </xdr:spPr>
    </xdr:pic>
    <xdr:clientData/>
  </xdr:twoCellAnchor>
  <xdr:twoCellAnchor editAs="oneCell">
    <xdr:from>
      <xdr:col>2</xdr:col>
      <xdr:colOff>316149</xdr:colOff>
      <xdr:row>24</xdr:row>
      <xdr:rowOff>89170</xdr:rowOff>
    </xdr:from>
    <xdr:to>
      <xdr:col>3</xdr:col>
      <xdr:colOff>183320</xdr:colOff>
      <xdr:row>26</xdr:row>
      <xdr:rowOff>62692</xdr:rowOff>
    </xdr:to>
    <xdr:pic>
      <xdr:nvPicPr>
        <xdr:cNvPr id="38" name="Picture 37">
          <a:extLst>
            <a:ext uri="{FF2B5EF4-FFF2-40B4-BE49-F238E27FC236}">
              <a16:creationId xmlns:a16="http://schemas.microsoft.com/office/drawing/2014/main" id="{DF9A9E53-FF6F-BDB0-6488-8C682CCEA12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661809" y="4758447"/>
          <a:ext cx="540000" cy="362628"/>
        </a:xfrm>
        <a:prstGeom prst="rect">
          <a:avLst/>
        </a:prstGeom>
        <a:solidFill>
          <a:srgbClr val="FFC107"/>
        </a:solidFill>
      </xdr:spPr>
    </xdr:pic>
    <xdr:clientData/>
  </xdr:twoCellAnchor>
  <xdr:twoCellAnchor>
    <xdr:from>
      <xdr:col>3</xdr:col>
      <xdr:colOff>234437</xdr:colOff>
      <xdr:row>14</xdr:row>
      <xdr:rowOff>62582</xdr:rowOff>
    </xdr:from>
    <xdr:to>
      <xdr:col>4</xdr:col>
      <xdr:colOff>632298</xdr:colOff>
      <xdr:row>16</xdr:row>
      <xdr:rowOff>22050</xdr:rowOff>
    </xdr:to>
    <xdr:sp macro="" textlink="'1 keypoint'!C30">
      <xdr:nvSpPr>
        <xdr:cNvPr id="39" name="TextBox 38">
          <a:extLst>
            <a:ext uri="{FF2B5EF4-FFF2-40B4-BE49-F238E27FC236}">
              <a16:creationId xmlns:a16="http://schemas.microsoft.com/office/drawing/2014/main" id="{9327DC82-C27C-4DA9-8562-61B9FDB33352}"/>
            </a:ext>
          </a:extLst>
        </xdr:cNvPr>
        <xdr:cNvSpPr txBox="1"/>
      </xdr:nvSpPr>
      <xdr:spPr>
        <a:xfrm>
          <a:off x="2252926" y="2786327"/>
          <a:ext cx="1070691" cy="34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5CEF45-09A5-4EAA-98AA-EFC484BC853F}" type="TxLink">
            <a:rPr lang="en-US" sz="2000" b="1" i="0" u="none" strike="noStrike">
              <a:solidFill>
                <a:schemeClr val="bg1"/>
              </a:solidFill>
              <a:latin typeface="Calibri"/>
              <a:ea typeface="Calibri"/>
              <a:cs typeface="Calibri"/>
            </a:rPr>
            <a:pPr/>
            <a:t>333485</a:t>
          </a:fld>
          <a:endParaRPr lang="en-IN" sz="2000" b="1">
            <a:solidFill>
              <a:schemeClr val="bg1"/>
            </a:solidFill>
          </a:endParaRPr>
        </a:p>
      </xdr:txBody>
    </xdr:sp>
    <xdr:clientData/>
  </xdr:twoCellAnchor>
  <xdr:twoCellAnchor>
    <xdr:from>
      <xdr:col>3</xdr:col>
      <xdr:colOff>265242</xdr:colOff>
      <xdr:row>17</xdr:row>
      <xdr:rowOff>109600</xdr:rowOff>
    </xdr:from>
    <xdr:to>
      <xdr:col>4</xdr:col>
      <xdr:colOff>663103</xdr:colOff>
      <xdr:row>19</xdr:row>
      <xdr:rowOff>69067</xdr:rowOff>
    </xdr:to>
    <xdr:sp macro="" textlink="'1 keypoint'!C31">
      <xdr:nvSpPr>
        <xdr:cNvPr id="40" name="TextBox 39">
          <a:extLst>
            <a:ext uri="{FF2B5EF4-FFF2-40B4-BE49-F238E27FC236}">
              <a16:creationId xmlns:a16="http://schemas.microsoft.com/office/drawing/2014/main" id="{B9E5204F-9E8D-4EC7-B4A3-DA3888C7E0FF}"/>
            </a:ext>
          </a:extLst>
        </xdr:cNvPr>
        <xdr:cNvSpPr txBox="1"/>
      </xdr:nvSpPr>
      <xdr:spPr>
        <a:xfrm>
          <a:off x="2283731" y="3417004"/>
          <a:ext cx="1070691" cy="34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3E0A7A-4A4B-4B98-A180-38F00AF43166}" type="TxLink">
            <a:rPr lang="en-US" sz="2000" b="1" i="0" u="none" strike="noStrike">
              <a:solidFill>
                <a:schemeClr val="bg1"/>
              </a:solidFill>
              <a:latin typeface="Calibri"/>
              <a:ea typeface="Calibri"/>
              <a:cs typeface="Calibri"/>
            </a:rPr>
            <a:pPr/>
            <a:t>33472</a:t>
          </a:fld>
          <a:endParaRPr lang="en-IN" sz="2000" b="1">
            <a:solidFill>
              <a:schemeClr val="bg1"/>
            </a:solidFill>
          </a:endParaRPr>
        </a:p>
      </xdr:txBody>
    </xdr:sp>
    <xdr:clientData/>
  </xdr:twoCellAnchor>
  <xdr:twoCellAnchor>
    <xdr:from>
      <xdr:col>3</xdr:col>
      <xdr:colOff>271727</xdr:colOff>
      <xdr:row>21</xdr:row>
      <xdr:rowOff>18808</xdr:rowOff>
    </xdr:from>
    <xdr:to>
      <xdr:col>4</xdr:col>
      <xdr:colOff>669588</xdr:colOff>
      <xdr:row>22</xdr:row>
      <xdr:rowOff>172829</xdr:rowOff>
    </xdr:to>
    <xdr:sp macro="" textlink="'1 keypoint'!C29">
      <xdr:nvSpPr>
        <xdr:cNvPr id="41" name="TextBox 40">
          <a:extLst>
            <a:ext uri="{FF2B5EF4-FFF2-40B4-BE49-F238E27FC236}">
              <a16:creationId xmlns:a16="http://schemas.microsoft.com/office/drawing/2014/main" id="{CA65E3AC-0E65-4B53-904F-0D23386EA6A4}"/>
            </a:ext>
          </a:extLst>
        </xdr:cNvPr>
        <xdr:cNvSpPr txBox="1"/>
      </xdr:nvSpPr>
      <xdr:spPr>
        <a:xfrm>
          <a:off x="2290216" y="4104425"/>
          <a:ext cx="1070691" cy="34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90BFAA-F718-4EB4-8A74-020F2BC94896}" type="TxLink">
            <a:rPr lang="en-US" sz="2000" b="1" i="0" u="none" strike="noStrike">
              <a:solidFill>
                <a:schemeClr val="bg1"/>
              </a:solidFill>
              <a:latin typeface="Calibri"/>
              <a:ea typeface="Calibri"/>
              <a:cs typeface="Calibri"/>
            </a:rPr>
            <a:pPr/>
            <a:t>12798</a:t>
          </a:fld>
          <a:endParaRPr lang="en-IN" sz="2000" b="1">
            <a:solidFill>
              <a:schemeClr val="bg1"/>
            </a:solidFill>
          </a:endParaRPr>
        </a:p>
      </xdr:txBody>
    </xdr:sp>
    <xdr:clientData/>
  </xdr:twoCellAnchor>
  <xdr:twoCellAnchor>
    <xdr:from>
      <xdr:col>3</xdr:col>
      <xdr:colOff>294425</xdr:colOff>
      <xdr:row>24</xdr:row>
      <xdr:rowOff>98250</xdr:rowOff>
    </xdr:from>
    <xdr:to>
      <xdr:col>5</xdr:col>
      <xdr:colOff>19456</xdr:colOff>
      <xdr:row>26</xdr:row>
      <xdr:rowOff>57718</xdr:rowOff>
    </xdr:to>
    <xdr:sp macro="" textlink="'1 keypoint'!C32">
      <xdr:nvSpPr>
        <xdr:cNvPr id="42" name="TextBox 41">
          <a:extLst>
            <a:ext uri="{FF2B5EF4-FFF2-40B4-BE49-F238E27FC236}">
              <a16:creationId xmlns:a16="http://schemas.microsoft.com/office/drawing/2014/main" id="{CBC7A753-FDF1-447F-B1C6-9BF42138D253}"/>
            </a:ext>
          </a:extLst>
        </xdr:cNvPr>
        <xdr:cNvSpPr txBox="1"/>
      </xdr:nvSpPr>
      <xdr:spPr>
        <a:xfrm>
          <a:off x="2312914" y="4767527"/>
          <a:ext cx="1070691" cy="34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F8B183-16BD-4192-93B1-A42CBEF00051}" type="TxLink">
            <a:rPr lang="en-US" sz="2000" b="1" i="0" u="none" strike="noStrike">
              <a:solidFill>
                <a:schemeClr val="bg1"/>
              </a:solidFill>
              <a:latin typeface="Calibri"/>
              <a:ea typeface="Calibri"/>
              <a:cs typeface="Calibri"/>
            </a:rPr>
            <a:pPr/>
            <a:t>33672</a:t>
          </a:fld>
          <a:endParaRPr lang="en-IN" sz="2000" b="1">
            <a:solidFill>
              <a:schemeClr val="bg1"/>
            </a:solidFill>
          </a:endParaRPr>
        </a:p>
      </xdr:txBody>
    </xdr:sp>
    <xdr:clientData/>
  </xdr:twoCellAnchor>
  <xdr:twoCellAnchor>
    <xdr:from>
      <xdr:col>3</xdr:col>
      <xdr:colOff>309016</xdr:colOff>
      <xdr:row>28</xdr:row>
      <xdr:rowOff>47992</xdr:rowOff>
    </xdr:from>
    <xdr:to>
      <xdr:col>5</xdr:col>
      <xdr:colOff>34047</xdr:colOff>
      <xdr:row>30</xdr:row>
      <xdr:rowOff>7459</xdr:rowOff>
    </xdr:to>
    <xdr:sp macro="" textlink="'1 keypoint'!C28">
      <xdr:nvSpPr>
        <xdr:cNvPr id="43" name="TextBox 42">
          <a:extLst>
            <a:ext uri="{FF2B5EF4-FFF2-40B4-BE49-F238E27FC236}">
              <a16:creationId xmlns:a16="http://schemas.microsoft.com/office/drawing/2014/main" id="{CF1B1B16-6D59-4462-9613-1B075898ADC0}"/>
            </a:ext>
          </a:extLst>
        </xdr:cNvPr>
        <xdr:cNvSpPr txBox="1"/>
      </xdr:nvSpPr>
      <xdr:spPr>
        <a:xfrm>
          <a:off x="2327505" y="5495481"/>
          <a:ext cx="1070691" cy="34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02FE9D-A957-4AD3-8746-4127FCF103C0}" type="TxLink">
            <a:rPr lang="en-US" sz="2000" b="1" i="0" u="none" strike="noStrike">
              <a:solidFill>
                <a:schemeClr val="bg1"/>
              </a:solidFill>
              <a:latin typeface="Calibri"/>
              <a:ea typeface="Calibri"/>
              <a:cs typeface="Calibri"/>
            </a:rPr>
            <a:pPr/>
            <a:t>1032</a:t>
          </a:fld>
          <a:endParaRPr lang="en-IN" sz="2000" b="1">
            <a:solidFill>
              <a:schemeClr val="bg1"/>
            </a:solidFill>
          </a:endParaRPr>
        </a:p>
      </xdr:txBody>
    </xdr:sp>
    <xdr:clientData/>
  </xdr:twoCellAnchor>
  <xdr:twoCellAnchor>
    <xdr:from>
      <xdr:col>3</xdr:col>
      <xdr:colOff>266863</xdr:colOff>
      <xdr:row>31</xdr:row>
      <xdr:rowOff>70688</xdr:rowOff>
    </xdr:from>
    <xdr:to>
      <xdr:col>4</xdr:col>
      <xdr:colOff>664724</xdr:colOff>
      <xdr:row>33</xdr:row>
      <xdr:rowOff>30156</xdr:rowOff>
    </xdr:to>
    <xdr:sp macro="" textlink="'1 keypoint'!C33">
      <xdr:nvSpPr>
        <xdr:cNvPr id="44" name="TextBox 43">
          <a:extLst>
            <a:ext uri="{FF2B5EF4-FFF2-40B4-BE49-F238E27FC236}">
              <a16:creationId xmlns:a16="http://schemas.microsoft.com/office/drawing/2014/main" id="{8F2D0E39-696A-492D-A35C-FB6371A2AF79}"/>
            </a:ext>
          </a:extLst>
        </xdr:cNvPr>
        <xdr:cNvSpPr txBox="1"/>
      </xdr:nvSpPr>
      <xdr:spPr>
        <a:xfrm>
          <a:off x="2285352" y="6101837"/>
          <a:ext cx="1070691" cy="348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4407C7-F01B-45E1-B4C3-A41629EAACD1}" type="TxLink">
            <a:rPr lang="en-US" sz="2000" b="1" i="0" u="none" strike="noStrike">
              <a:solidFill>
                <a:schemeClr val="bg1"/>
              </a:solidFill>
              <a:latin typeface="Calibri"/>
              <a:ea typeface="Calibri"/>
              <a:cs typeface="Calibri"/>
            </a:rPr>
            <a:pPr/>
            <a:t>3424</a:t>
          </a:fld>
          <a:endParaRPr lang="en-IN" sz="2000" b="1">
            <a:solidFill>
              <a:schemeClr val="bg1"/>
            </a:solidFill>
          </a:endParaRPr>
        </a:p>
      </xdr:txBody>
    </xdr:sp>
    <xdr:clientData/>
  </xdr:twoCellAnchor>
  <xdr:twoCellAnchor>
    <xdr:from>
      <xdr:col>2</xdr:col>
      <xdr:colOff>112841</xdr:colOff>
      <xdr:row>11</xdr:row>
      <xdr:rowOff>119326</xdr:rowOff>
    </xdr:from>
    <xdr:to>
      <xdr:col>5</xdr:col>
      <xdr:colOff>7459</xdr:colOff>
      <xdr:row>15</xdr:row>
      <xdr:rowOff>24318</xdr:rowOff>
    </xdr:to>
    <xdr:sp macro="" textlink="">
      <xdr:nvSpPr>
        <xdr:cNvPr id="45" name="TextBox 44">
          <a:extLst>
            <a:ext uri="{FF2B5EF4-FFF2-40B4-BE49-F238E27FC236}">
              <a16:creationId xmlns:a16="http://schemas.microsoft.com/office/drawing/2014/main" id="{7CFC5E79-5BD7-49AB-840E-6098087CC2D9}"/>
            </a:ext>
          </a:extLst>
        </xdr:cNvPr>
        <xdr:cNvSpPr txBox="1"/>
      </xdr:nvSpPr>
      <xdr:spPr>
        <a:xfrm>
          <a:off x="1458501" y="2259411"/>
          <a:ext cx="1913107" cy="68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a:t>
          </a:r>
          <a:r>
            <a:rPr lang="en-IN" sz="1400" b="1">
              <a:solidFill>
                <a:schemeClr val="bg1"/>
              </a:solidFill>
            </a:rPr>
            <a:t>Casualties</a:t>
          </a:r>
          <a:r>
            <a:rPr lang="en-IN" sz="1600" b="1">
              <a:solidFill>
                <a:schemeClr val="bg1"/>
              </a:solidFill>
            </a:rPr>
            <a:t> By Vehicle Type</a:t>
          </a:r>
        </a:p>
      </xdr:txBody>
    </xdr:sp>
    <xdr:clientData/>
  </xdr:twoCellAnchor>
  <xdr:twoCellAnchor>
    <xdr:from>
      <xdr:col>5</xdr:col>
      <xdr:colOff>37268</xdr:colOff>
      <xdr:row>11</xdr:row>
      <xdr:rowOff>103267</xdr:rowOff>
    </xdr:from>
    <xdr:to>
      <xdr:col>12</xdr:col>
      <xdr:colOff>370598</xdr:colOff>
      <xdr:row>23</xdr:row>
      <xdr:rowOff>144629</xdr:rowOff>
    </xdr:to>
    <xdr:sp macro="" textlink="">
      <xdr:nvSpPr>
        <xdr:cNvPr id="46" name="Rectangle: Rounded Corners 45">
          <a:extLst>
            <a:ext uri="{FF2B5EF4-FFF2-40B4-BE49-F238E27FC236}">
              <a16:creationId xmlns:a16="http://schemas.microsoft.com/office/drawing/2014/main" id="{B68FD9DA-7CD7-4864-9CF9-32B898B25C90}"/>
            </a:ext>
          </a:extLst>
        </xdr:cNvPr>
        <xdr:cNvSpPr/>
      </xdr:nvSpPr>
      <xdr:spPr>
        <a:xfrm>
          <a:off x="3417107" y="2266364"/>
          <a:ext cx="5065104" cy="2401104"/>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98321</xdr:colOff>
      <xdr:row>13</xdr:row>
      <xdr:rowOff>187400</xdr:rowOff>
    </xdr:from>
    <xdr:to>
      <xdr:col>12</xdr:col>
      <xdr:colOff>296836</xdr:colOff>
      <xdr:row>23</xdr:row>
      <xdr:rowOff>99183</xdr:rowOff>
    </xdr:to>
    <xdr:graphicFrame macro="">
      <xdr:nvGraphicFramePr>
        <xdr:cNvPr id="47" name="Chart 46">
          <a:extLst>
            <a:ext uri="{FF2B5EF4-FFF2-40B4-BE49-F238E27FC236}">
              <a16:creationId xmlns:a16="http://schemas.microsoft.com/office/drawing/2014/main" id="{F085AEE4-CB2A-44A8-898B-0D38FB798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446315</xdr:colOff>
      <xdr:row>11</xdr:row>
      <xdr:rowOff>115402</xdr:rowOff>
    </xdr:from>
    <xdr:to>
      <xdr:col>17</xdr:col>
      <xdr:colOff>27211</xdr:colOff>
      <xdr:row>23</xdr:row>
      <xdr:rowOff>156764</xdr:rowOff>
    </xdr:to>
    <xdr:sp macro="" textlink="">
      <xdr:nvSpPr>
        <xdr:cNvPr id="48" name="Rectangle: Rounded Corners 47">
          <a:extLst>
            <a:ext uri="{FF2B5EF4-FFF2-40B4-BE49-F238E27FC236}">
              <a16:creationId xmlns:a16="http://schemas.microsoft.com/office/drawing/2014/main" id="{1005412B-064B-46BD-910B-0F7C25833800}"/>
            </a:ext>
          </a:extLst>
        </xdr:cNvPr>
        <xdr:cNvSpPr/>
      </xdr:nvSpPr>
      <xdr:spPr>
        <a:xfrm>
          <a:off x="8545286" y="2270773"/>
          <a:ext cx="2955468" cy="2392677"/>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493841</xdr:colOff>
      <xdr:row>13</xdr:row>
      <xdr:rowOff>100853</xdr:rowOff>
    </xdr:from>
    <xdr:to>
      <xdr:col>16</xdr:col>
      <xdr:colOff>664723</xdr:colOff>
      <xdr:row>23</xdr:row>
      <xdr:rowOff>113489</xdr:rowOff>
    </xdr:to>
    <xdr:graphicFrame macro="">
      <xdr:nvGraphicFramePr>
        <xdr:cNvPr id="49" name="Chart 48">
          <a:extLst>
            <a:ext uri="{FF2B5EF4-FFF2-40B4-BE49-F238E27FC236}">
              <a16:creationId xmlns:a16="http://schemas.microsoft.com/office/drawing/2014/main" id="{1383E819-7A2A-463D-A187-1F5A88BD1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526266</xdr:colOff>
      <xdr:row>11</xdr:row>
      <xdr:rowOff>192283</xdr:rowOff>
    </xdr:from>
    <xdr:to>
      <xdr:col>11</xdr:col>
      <xdr:colOff>616085</xdr:colOff>
      <xdr:row>13</xdr:row>
      <xdr:rowOff>129056</xdr:rowOff>
    </xdr:to>
    <xdr:sp macro="" textlink="">
      <xdr:nvSpPr>
        <xdr:cNvPr id="50" name="TextBox 49">
          <a:extLst>
            <a:ext uri="{FF2B5EF4-FFF2-40B4-BE49-F238E27FC236}">
              <a16:creationId xmlns:a16="http://schemas.microsoft.com/office/drawing/2014/main" id="{83D04498-092F-44B2-AB27-BE5DEF9A37D2}"/>
            </a:ext>
          </a:extLst>
        </xdr:cNvPr>
        <xdr:cNvSpPr txBox="1"/>
      </xdr:nvSpPr>
      <xdr:spPr>
        <a:xfrm>
          <a:off x="4563245" y="2332368"/>
          <a:ext cx="3453968" cy="325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Current Year Vs Previous Year </a:t>
          </a:r>
          <a:endParaRPr lang="en-IN" sz="1400" b="1">
            <a:solidFill>
              <a:schemeClr val="bg1"/>
            </a:solidFill>
          </a:endParaRPr>
        </a:p>
      </xdr:txBody>
    </xdr:sp>
    <xdr:clientData/>
  </xdr:twoCellAnchor>
  <xdr:twoCellAnchor>
    <xdr:from>
      <xdr:col>13</xdr:col>
      <xdr:colOff>80415</xdr:colOff>
      <xdr:row>11</xdr:row>
      <xdr:rowOff>151750</xdr:rowOff>
    </xdr:from>
    <xdr:to>
      <xdr:col>16</xdr:col>
      <xdr:colOff>453957</xdr:colOff>
      <xdr:row>13</xdr:row>
      <xdr:rowOff>88523</xdr:rowOff>
    </xdr:to>
    <xdr:sp macro="" textlink="">
      <xdr:nvSpPr>
        <xdr:cNvPr id="51" name="TextBox 50">
          <a:extLst>
            <a:ext uri="{FF2B5EF4-FFF2-40B4-BE49-F238E27FC236}">
              <a16:creationId xmlns:a16="http://schemas.microsoft.com/office/drawing/2014/main" id="{E7BDAAC3-600A-4DAB-8357-46F3F187B378}"/>
            </a:ext>
          </a:extLst>
        </xdr:cNvPr>
        <xdr:cNvSpPr txBox="1"/>
      </xdr:nvSpPr>
      <xdr:spPr>
        <a:xfrm>
          <a:off x="8827202" y="2291835"/>
          <a:ext cx="2392032" cy="325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Casualties By Road Type</a:t>
          </a:r>
          <a:endParaRPr lang="en-IN" sz="1400" b="1">
            <a:solidFill>
              <a:schemeClr val="bg1"/>
            </a:solidFill>
          </a:endParaRPr>
        </a:p>
      </xdr:txBody>
    </xdr:sp>
    <xdr:clientData/>
  </xdr:twoCellAnchor>
  <xdr:twoCellAnchor>
    <xdr:from>
      <xdr:col>17</xdr:col>
      <xdr:colOff>97971</xdr:colOff>
      <xdr:row>11</xdr:row>
      <xdr:rowOff>117704</xdr:rowOff>
    </xdr:from>
    <xdr:to>
      <xdr:col>21</xdr:col>
      <xdr:colOff>414616</xdr:colOff>
      <xdr:row>23</xdr:row>
      <xdr:rowOff>159066</xdr:rowOff>
    </xdr:to>
    <xdr:sp macro="" textlink="">
      <xdr:nvSpPr>
        <xdr:cNvPr id="52" name="Rectangle: Rounded Corners 51">
          <a:extLst>
            <a:ext uri="{FF2B5EF4-FFF2-40B4-BE49-F238E27FC236}">
              <a16:creationId xmlns:a16="http://schemas.microsoft.com/office/drawing/2014/main" id="{4D187625-F0E1-4894-88C5-9748F097AE74}"/>
            </a:ext>
          </a:extLst>
        </xdr:cNvPr>
        <xdr:cNvSpPr/>
      </xdr:nvSpPr>
      <xdr:spPr>
        <a:xfrm>
          <a:off x="11571514" y="2273075"/>
          <a:ext cx="3016302" cy="2392677"/>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143644</xdr:colOff>
      <xdr:row>14</xdr:row>
      <xdr:rowOff>16211</xdr:rowOff>
    </xdr:from>
    <xdr:to>
      <xdr:col>21</xdr:col>
      <xdr:colOff>381000</xdr:colOff>
      <xdr:row>23</xdr:row>
      <xdr:rowOff>183770</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B9B50A14-B017-407F-BB92-739F888C91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543164" y="2789891"/>
              <a:ext cx="2919596" cy="19506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313879</xdr:colOff>
      <xdr:row>11</xdr:row>
      <xdr:rowOff>158235</xdr:rowOff>
    </xdr:from>
    <xdr:to>
      <xdr:col>21</xdr:col>
      <xdr:colOff>14591</xdr:colOff>
      <xdr:row>13</xdr:row>
      <xdr:rowOff>95008</xdr:rowOff>
    </xdr:to>
    <xdr:sp macro="" textlink="">
      <xdr:nvSpPr>
        <xdr:cNvPr id="54" name="TextBox 53">
          <a:extLst>
            <a:ext uri="{FF2B5EF4-FFF2-40B4-BE49-F238E27FC236}">
              <a16:creationId xmlns:a16="http://schemas.microsoft.com/office/drawing/2014/main" id="{0FACE49F-0D73-42D2-96DF-B9D5F35A7121}"/>
            </a:ext>
          </a:extLst>
        </xdr:cNvPr>
        <xdr:cNvSpPr txBox="1"/>
      </xdr:nvSpPr>
      <xdr:spPr>
        <a:xfrm>
          <a:off x="11751985" y="2298320"/>
          <a:ext cx="2392032" cy="325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Casualties - Road Surface</a:t>
          </a:r>
          <a:endParaRPr lang="en-IN" sz="1400" b="1">
            <a:solidFill>
              <a:schemeClr val="bg1"/>
            </a:solidFill>
          </a:endParaRPr>
        </a:p>
      </xdr:txBody>
    </xdr:sp>
    <xdr:clientData/>
  </xdr:twoCellAnchor>
  <xdr:twoCellAnchor>
    <xdr:from>
      <xdr:col>5</xdr:col>
      <xdr:colOff>43543</xdr:colOff>
      <xdr:row>24</xdr:row>
      <xdr:rowOff>65314</xdr:rowOff>
    </xdr:from>
    <xdr:to>
      <xdr:col>9</xdr:col>
      <xdr:colOff>481852</xdr:colOff>
      <xdr:row>34</xdr:row>
      <xdr:rowOff>36086</xdr:rowOff>
    </xdr:to>
    <xdr:sp macro="" textlink="">
      <xdr:nvSpPr>
        <xdr:cNvPr id="56" name="Rectangle: Rounded Corners 55">
          <a:extLst>
            <a:ext uri="{FF2B5EF4-FFF2-40B4-BE49-F238E27FC236}">
              <a16:creationId xmlns:a16="http://schemas.microsoft.com/office/drawing/2014/main" id="{D7F80CEC-2645-4D8F-9F32-7A523494AF83}"/>
            </a:ext>
          </a:extLst>
        </xdr:cNvPr>
        <xdr:cNvSpPr/>
      </xdr:nvSpPr>
      <xdr:spPr>
        <a:xfrm>
          <a:off x="3418114" y="4767943"/>
          <a:ext cx="3137967" cy="1930200"/>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608320</xdr:colOff>
      <xdr:row>24</xdr:row>
      <xdr:rowOff>74865</xdr:rowOff>
    </xdr:from>
    <xdr:to>
      <xdr:col>14</xdr:col>
      <xdr:colOff>229034</xdr:colOff>
      <xdr:row>34</xdr:row>
      <xdr:rowOff>15689</xdr:rowOff>
    </xdr:to>
    <xdr:sp macro="" textlink="">
      <xdr:nvSpPr>
        <xdr:cNvPr id="57" name="Rectangle: Rounded Corners 56">
          <a:extLst>
            <a:ext uri="{FF2B5EF4-FFF2-40B4-BE49-F238E27FC236}">
              <a16:creationId xmlns:a16="http://schemas.microsoft.com/office/drawing/2014/main" id="{9545046B-CC74-4AF9-B852-7E2130AFF33D}"/>
            </a:ext>
          </a:extLst>
        </xdr:cNvPr>
        <xdr:cNvSpPr/>
      </xdr:nvSpPr>
      <xdr:spPr>
        <a:xfrm>
          <a:off x="6692030" y="4794349"/>
          <a:ext cx="3000552" cy="1907275"/>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347383</xdr:colOff>
      <xdr:row>24</xdr:row>
      <xdr:rowOff>82302</xdr:rowOff>
    </xdr:from>
    <xdr:to>
      <xdr:col>21</xdr:col>
      <xdr:colOff>414618</xdr:colOff>
      <xdr:row>33</xdr:row>
      <xdr:rowOff>192408</xdr:rowOff>
    </xdr:to>
    <xdr:sp macro="" textlink="">
      <xdr:nvSpPr>
        <xdr:cNvPr id="58" name="Rectangle: Rounded Corners 57">
          <a:extLst>
            <a:ext uri="{FF2B5EF4-FFF2-40B4-BE49-F238E27FC236}">
              <a16:creationId xmlns:a16="http://schemas.microsoft.com/office/drawing/2014/main" id="{F13E942A-B0F5-447A-833A-334EB21374D3}"/>
            </a:ext>
          </a:extLst>
        </xdr:cNvPr>
        <xdr:cNvSpPr/>
      </xdr:nvSpPr>
      <xdr:spPr>
        <a:xfrm>
          <a:off x="9760324" y="4923243"/>
          <a:ext cx="4773706" cy="1925459"/>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bg1"/>
            </a:solidFill>
          </a:endParaRPr>
        </a:p>
      </xdr:txBody>
    </xdr:sp>
    <xdr:clientData/>
  </xdr:twoCellAnchor>
  <xdr:twoCellAnchor>
    <xdr:from>
      <xdr:col>5</xdr:col>
      <xdr:colOff>89170</xdr:colOff>
      <xdr:row>26</xdr:row>
      <xdr:rowOff>122904</xdr:rowOff>
    </xdr:from>
    <xdr:to>
      <xdr:col>9</xdr:col>
      <xdr:colOff>389106</xdr:colOff>
      <xdr:row>34</xdr:row>
      <xdr:rowOff>54151</xdr:rowOff>
    </xdr:to>
    <xdr:graphicFrame macro="">
      <xdr:nvGraphicFramePr>
        <xdr:cNvPr id="59" name="Chart 58">
          <a:extLst>
            <a:ext uri="{FF2B5EF4-FFF2-40B4-BE49-F238E27FC236}">
              <a16:creationId xmlns:a16="http://schemas.microsoft.com/office/drawing/2014/main" id="{EB6408ED-63F0-40EB-B798-D51E022C5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42965</xdr:colOff>
      <xdr:row>26</xdr:row>
      <xdr:rowOff>147485</xdr:rowOff>
    </xdr:from>
    <xdr:to>
      <xdr:col>14</xdr:col>
      <xdr:colOff>348574</xdr:colOff>
      <xdr:row>34</xdr:row>
      <xdr:rowOff>44748</xdr:rowOff>
    </xdr:to>
    <xdr:graphicFrame macro="">
      <xdr:nvGraphicFramePr>
        <xdr:cNvPr id="60" name="Chart 59">
          <a:extLst>
            <a:ext uri="{FF2B5EF4-FFF2-40B4-BE49-F238E27FC236}">
              <a16:creationId xmlns:a16="http://schemas.microsoft.com/office/drawing/2014/main" id="{533C467A-4A0F-497F-B8EB-6E4E48C00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502597</xdr:colOff>
      <xdr:row>24</xdr:row>
      <xdr:rowOff>188878</xdr:rowOff>
    </xdr:from>
    <xdr:to>
      <xdr:col>9</xdr:col>
      <xdr:colOff>203310</xdr:colOff>
      <xdr:row>26</xdr:row>
      <xdr:rowOff>125651</xdr:rowOff>
    </xdr:to>
    <xdr:sp macro="" textlink="">
      <xdr:nvSpPr>
        <xdr:cNvPr id="61" name="TextBox 60">
          <a:extLst>
            <a:ext uri="{FF2B5EF4-FFF2-40B4-BE49-F238E27FC236}">
              <a16:creationId xmlns:a16="http://schemas.microsoft.com/office/drawing/2014/main" id="{32270D42-EB5B-467E-976C-4394B729CD9D}"/>
            </a:ext>
          </a:extLst>
        </xdr:cNvPr>
        <xdr:cNvSpPr txBox="1"/>
      </xdr:nvSpPr>
      <xdr:spPr>
        <a:xfrm>
          <a:off x="3866746" y="4858155"/>
          <a:ext cx="2392032" cy="325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Casualties By Location/Area</a:t>
          </a:r>
          <a:endParaRPr lang="en-IN" sz="1400" b="1">
            <a:solidFill>
              <a:schemeClr val="bg1"/>
            </a:solidFill>
          </a:endParaRPr>
        </a:p>
      </xdr:txBody>
    </xdr:sp>
    <xdr:clientData/>
  </xdr:twoCellAnchor>
  <xdr:twoCellAnchor>
    <xdr:from>
      <xdr:col>10</xdr:col>
      <xdr:colOff>456391</xdr:colOff>
      <xdr:row>24</xdr:row>
      <xdr:rowOff>164559</xdr:rowOff>
    </xdr:from>
    <xdr:to>
      <xdr:col>14</xdr:col>
      <xdr:colOff>157104</xdr:colOff>
      <xdr:row>26</xdr:row>
      <xdr:rowOff>101332</xdr:rowOff>
    </xdr:to>
    <xdr:sp macro="" textlink="">
      <xdr:nvSpPr>
        <xdr:cNvPr id="62" name="TextBox 61">
          <a:extLst>
            <a:ext uri="{FF2B5EF4-FFF2-40B4-BE49-F238E27FC236}">
              <a16:creationId xmlns:a16="http://schemas.microsoft.com/office/drawing/2014/main" id="{D4CAB1F3-A34C-42B6-AE75-31F2193A1DD5}"/>
            </a:ext>
          </a:extLst>
        </xdr:cNvPr>
        <xdr:cNvSpPr txBox="1"/>
      </xdr:nvSpPr>
      <xdr:spPr>
        <a:xfrm>
          <a:off x="7184689" y="4833836"/>
          <a:ext cx="2392032" cy="325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Casualties By Light Condition</a:t>
          </a:r>
          <a:endParaRPr lang="en-IN" sz="1400" b="1">
            <a:solidFill>
              <a:schemeClr val="bg1"/>
            </a:solidFill>
          </a:endParaRPr>
        </a:p>
      </xdr:txBody>
    </xdr:sp>
    <xdr:clientData/>
  </xdr:twoCellAnchor>
  <xdr:twoCellAnchor>
    <xdr:from>
      <xdr:col>14</xdr:col>
      <xdr:colOff>457297</xdr:colOff>
      <xdr:row>24</xdr:row>
      <xdr:rowOff>122834</xdr:rowOff>
    </xdr:from>
    <xdr:to>
      <xdr:col>18</xdr:col>
      <xdr:colOff>158010</xdr:colOff>
      <xdr:row>26</xdr:row>
      <xdr:rowOff>59607</xdr:rowOff>
    </xdr:to>
    <xdr:sp macro="" textlink="">
      <xdr:nvSpPr>
        <xdr:cNvPr id="63" name="TextBox 62">
          <a:extLst>
            <a:ext uri="{FF2B5EF4-FFF2-40B4-BE49-F238E27FC236}">
              <a16:creationId xmlns:a16="http://schemas.microsoft.com/office/drawing/2014/main" id="{CE2FAD47-2948-46E8-BC23-CDF9AC9C4E88}"/>
            </a:ext>
          </a:extLst>
        </xdr:cNvPr>
        <xdr:cNvSpPr txBox="1"/>
      </xdr:nvSpPr>
      <xdr:spPr>
        <a:xfrm>
          <a:off x="9870238" y="4963775"/>
          <a:ext cx="2390125" cy="340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Casualties by Day of Week</a:t>
          </a:r>
          <a:endParaRPr lang="en-IN" sz="1400" b="1">
            <a:solidFill>
              <a:schemeClr val="bg1"/>
            </a:solidFill>
          </a:endParaRPr>
        </a:p>
      </xdr:txBody>
    </xdr:sp>
    <xdr:clientData/>
  </xdr:twoCellAnchor>
  <xdr:twoCellAnchor>
    <xdr:from>
      <xdr:col>8</xdr:col>
      <xdr:colOff>381520</xdr:colOff>
      <xdr:row>7</xdr:row>
      <xdr:rowOff>2725</xdr:rowOff>
    </xdr:from>
    <xdr:to>
      <xdr:col>10</xdr:col>
      <xdr:colOff>505110</xdr:colOff>
      <xdr:row>8</xdr:row>
      <xdr:rowOff>157202</xdr:rowOff>
    </xdr:to>
    <xdr:sp macro="" textlink="'1 keypoint'!G18">
      <xdr:nvSpPr>
        <xdr:cNvPr id="25" name="TextBox 24">
          <a:extLst>
            <a:ext uri="{FF2B5EF4-FFF2-40B4-BE49-F238E27FC236}">
              <a16:creationId xmlns:a16="http://schemas.microsoft.com/office/drawing/2014/main" id="{B96F5328-8D9F-4C5E-A649-5BFF768E5C07}"/>
            </a:ext>
          </a:extLst>
        </xdr:cNvPr>
        <xdr:cNvSpPr txBox="1"/>
      </xdr:nvSpPr>
      <xdr:spPr>
        <a:xfrm>
          <a:off x="5760344" y="1414666"/>
          <a:ext cx="1468295" cy="356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8BF6EA-3425-4A1C-8C4C-FA957E5EDF3B}" type="TxLink">
            <a:rPr lang="en-US" sz="2000" b="0" i="0" u="none" strike="noStrike">
              <a:solidFill>
                <a:schemeClr val="bg1"/>
              </a:solidFill>
              <a:latin typeface="Calibri"/>
              <a:ea typeface="Calibri"/>
              <a:cs typeface="Calibri"/>
            </a:rPr>
            <a:pPr/>
            <a:t>14.2%</a:t>
          </a:fld>
          <a:endParaRPr lang="en-IN" sz="2000" b="1">
            <a:solidFill>
              <a:schemeClr val="bg1"/>
            </a:solidFill>
          </a:endParaRPr>
        </a:p>
      </xdr:txBody>
    </xdr:sp>
    <xdr:clientData/>
  </xdr:twoCellAnchor>
  <xdr:twoCellAnchor>
    <xdr:from>
      <xdr:col>4</xdr:col>
      <xdr:colOff>377066</xdr:colOff>
      <xdr:row>7</xdr:row>
      <xdr:rowOff>16237</xdr:rowOff>
    </xdr:from>
    <xdr:to>
      <xdr:col>6</xdr:col>
      <xdr:colOff>15551</xdr:colOff>
      <xdr:row>9</xdr:row>
      <xdr:rowOff>31102</xdr:rowOff>
    </xdr:to>
    <xdr:sp macro="" textlink="'1 keypoint'!G14">
      <xdr:nvSpPr>
        <xdr:cNvPr id="27" name="TextBox 26">
          <a:extLst>
            <a:ext uri="{FF2B5EF4-FFF2-40B4-BE49-F238E27FC236}">
              <a16:creationId xmlns:a16="http://schemas.microsoft.com/office/drawing/2014/main" id="{1732A62C-4434-4376-BF9A-5703AF179A85}"/>
            </a:ext>
          </a:extLst>
        </xdr:cNvPr>
        <xdr:cNvSpPr txBox="1"/>
      </xdr:nvSpPr>
      <xdr:spPr>
        <a:xfrm>
          <a:off x="3051842" y="1431380"/>
          <a:ext cx="975872" cy="419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7C8063-3B98-47F5-97BD-DC1E051B163B}" type="TxLink">
            <a:rPr lang="en-US" sz="2000" b="0" i="0" u="none" strike="noStrike">
              <a:solidFill>
                <a:schemeClr val="bg1"/>
              </a:solidFill>
              <a:latin typeface="Calibri"/>
              <a:ea typeface="Calibri"/>
              <a:cs typeface="Calibri"/>
            </a:rPr>
            <a:pPr/>
            <a:t>1.7%</a:t>
          </a:fld>
          <a:endParaRPr lang="en-IN" sz="2000" b="1">
            <a:solidFill>
              <a:schemeClr val="bg1"/>
            </a:solidFill>
          </a:endParaRPr>
        </a:p>
      </xdr:txBody>
    </xdr:sp>
    <xdr:clientData/>
  </xdr:twoCellAnchor>
  <xdr:twoCellAnchor>
    <xdr:from>
      <xdr:col>12</xdr:col>
      <xdr:colOff>258970</xdr:colOff>
      <xdr:row>6</xdr:row>
      <xdr:rowOff>195394</xdr:rowOff>
    </xdr:from>
    <xdr:to>
      <xdr:col>14</xdr:col>
      <xdr:colOff>378944</xdr:colOff>
      <xdr:row>8</xdr:row>
      <xdr:rowOff>147708</xdr:rowOff>
    </xdr:to>
    <xdr:sp macro="" textlink="'1 keypoint'!G22">
      <xdr:nvSpPr>
        <xdr:cNvPr id="33" name="TextBox 32">
          <a:extLst>
            <a:ext uri="{FF2B5EF4-FFF2-40B4-BE49-F238E27FC236}">
              <a16:creationId xmlns:a16="http://schemas.microsoft.com/office/drawing/2014/main" id="{2D4203F3-17C2-41FA-B0E2-472B855067B2}"/>
            </a:ext>
          </a:extLst>
        </xdr:cNvPr>
        <xdr:cNvSpPr txBox="1"/>
      </xdr:nvSpPr>
      <xdr:spPr>
        <a:xfrm>
          <a:off x="8327205" y="1405629"/>
          <a:ext cx="1464680" cy="355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C49D8E-76B6-4138-AC3C-14CD06D5C8DD}" type="TxLink">
            <a:rPr lang="en-US" sz="2000" b="0" i="0" u="none" strike="noStrike">
              <a:solidFill>
                <a:schemeClr val="bg1"/>
              </a:solidFill>
              <a:latin typeface="Calibri"/>
              <a:ea typeface="Calibri"/>
              <a:cs typeface="Calibri"/>
            </a:rPr>
            <a:pPr/>
            <a:t>84.1%</a:t>
          </a:fld>
          <a:endParaRPr lang="en-IN" sz="2000" b="1">
            <a:solidFill>
              <a:schemeClr val="bg1"/>
            </a:solidFill>
          </a:endParaRPr>
        </a:p>
      </xdr:txBody>
    </xdr:sp>
    <xdr:clientData/>
  </xdr:twoCellAnchor>
  <xdr:oneCellAnchor>
    <xdr:from>
      <xdr:col>2</xdr:col>
      <xdr:colOff>12290</xdr:colOff>
      <xdr:row>34</xdr:row>
      <xdr:rowOff>184356</xdr:rowOff>
    </xdr:from>
    <xdr:ext cx="12695904" cy="405432"/>
    <xdr:sp macro="" textlink="">
      <xdr:nvSpPr>
        <xdr:cNvPr id="35" name="TextBox 34">
          <a:extLst>
            <a:ext uri="{FF2B5EF4-FFF2-40B4-BE49-F238E27FC236}">
              <a16:creationId xmlns:a16="http://schemas.microsoft.com/office/drawing/2014/main" id="{0AD4D764-5E42-2921-58B0-66A128D70AB2}"/>
            </a:ext>
          </a:extLst>
        </xdr:cNvPr>
        <xdr:cNvSpPr txBox="1"/>
      </xdr:nvSpPr>
      <xdr:spPr>
        <a:xfrm>
          <a:off x="1356996" y="7042356"/>
          <a:ext cx="126959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2000" b="1">
            <a:solidFill>
              <a:schemeClr val="bg1"/>
            </a:solidFill>
          </a:endParaRPr>
        </a:p>
      </xdr:txBody>
    </xdr:sp>
    <xdr:clientData/>
  </xdr:oneCellAnchor>
  <xdr:twoCellAnchor>
    <xdr:from>
      <xdr:col>13</xdr:col>
      <xdr:colOff>627530</xdr:colOff>
      <xdr:row>5</xdr:row>
      <xdr:rowOff>67236</xdr:rowOff>
    </xdr:from>
    <xdr:to>
      <xdr:col>17</xdr:col>
      <xdr:colOff>450918</xdr:colOff>
      <xdr:row>10</xdr:row>
      <xdr:rowOff>181623</xdr:rowOff>
    </xdr:to>
    <xdr:sp macro="" textlink="">
      <xdr:nvSpPr>
        <xdr:cNvPr id="36" name="Rectangle: Rounded Corners 35">
          <a:extLst>
            <a:ext uri="{FF2B5EF4-FFF2-40B4-BE49-F238E27FC236}">
              <a16:creationId xmlns:a16="http://schemas.microsoft.com/office/drawing/2014/main" id="{37D5ACCD-AE68-40BB-B5C2-CDB3B330EAE5}"/>
            </a:ext>
          </a:extLst>
        </xdr:cNvPr>
        <xdr:cNvSpPr/>
      </xdr:nvSpPr>
      <xdr:spPr>
        <a:xfrm>
          <a:off x="9368118" y="1075765"/>
          <a:ext cx="2512800" cy="1122917"/>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17</xdr:col>
      <xdr:colOff>571500</xdr:colOff>
      <xdr:row>5</xdr:row>
      <xdr:rowOff>56030</xdr:rowOff>
    </xdr:from>
    <xdr:to>
      <xdr:col>21</xdr:col>
      <xdr:colOff>394888</xdr:colOff>
      <xdr:row>10</xdr:row>
      <xdr:rowOff>170417</xdr:rowOff>
    </xdr:to>
    <xdr:sp macro="" textlink="">
      <xdr:nvSpPr>
        <xdr:cNvPr id="37" name="Rectangle: Rounded Corners 36">
          <a:extLst>
            <a:ext uri="{FF2B5EF4-FFF2-40B4-BE49-F238E27FC236}">
              <a16:creationId xmlns:a16="http://schemas.microsoft.com/office/drawing/2014/main" id="{D949FA6E-F10A-42FA-96AC-15168FD1D503}"/>
            </a:ext>
          </a:extLst>
        </xdr:cNvPr>
        <xdr:cNvSpPr/>
      </xdr:nvSpPr>
      <xdr:spPr>
        <a:xfrm>
          <a:off x="12001500" y="1064559"/>
          <a:ext cx="2512800" cy="1122917"/>
        </a:xfrm>
        <a:prstGeom prst="roundRect">
          <a:avLst>
            <a:gd name="adj" fmla="val 2478"/>
          </a:avLst>
        </a:prstGeom>
        <a:solidFill>
          <a:srgbClr val="2A2D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13</xdr:col>
      <xdr:colOff>627529</xdr:colOff>
      <xdr:row>5</xdr:row>
      <xdr:rowOff>67236</xdr:rowOff>
    </xdr:from>
    <xdr:to>
      <xdr:col>17</xdr:col>
      <xdr:colOff>481852</xdr:colOff>
      <xdr:row>10</xdr:row>
      <xdr:rowOff>112059</xdr:rowOff>
    </xdr:to>
    <mc:AlternateContent xmlns:mc="http://schemas.openxmlformats.org/markup-compatibility/2006" xmlns:a14="http://schemas.microsoft.com/office/drawing/2010/main">
      <mc:Choice Requires="a14">
        <xdr:graphicFrame macro="">
          <xdr:nvGraphicFramePr>
            <xdr:cNvPr id="55" name="Urban_or_Rural_Area 2">
              <a:extLst>
                <a:ext uri="{FF2B5EF4-FFF2-40B4-BE49-F238E27FC236}">
                  <a16:creationId xmlns:a16="http://schemas.microsoft.com/office/drawing/2014/main" id="{2DB1BF90-6D83-4B6F-B76F-306D2336CE9E}"/>
                </a:ext>
              </a:extLst>
            </xdr:cNvPr>
            <xdr:cNvGraphicFramePr/>
          </xdr:nvGraphicFramePr>
          <xdr:xfrm>
            <a:off x="0" y="0"/>
            <a:ext cx="0" cy="0"/>
          </xdr:xfrm>
          <a:graphic>
            <a:graphicData uri="http://schemas.microsoft.com/office/drawing/2010/slicer">
              <sle:slicer xmlns:sle="http://schemas.microsoft.com/office/drawing/2010/slicer" name="Urban_or_Rural_Area 2"/>
            </a:graphicData>
          </a:graphic>
        </xdr:graphicFrame>
      </mc:Choice>
      <mc:Fallback xmlns="">
        <xdr:sp macro="" textlink="">
          <xdr:nvSpPr>
            <xdr:cNvPr id="0" name=""/>
            <xdr:cNvSpPr>
              <a:spLocks noTextEdit="1"/>
            </xdr:cNvSpPr>
          </xdr:nvSpPr>
          <xdr:spPr>
            <a:xfrm>
              <a:off x="9368117" y="1075765"/>
              <a:ext cx="2543735" cy="1053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5</xdr:row>
      <xdr:rowOff>56030</xdr:rowOff>
    </xdr:from>
    <xdr:to>
      <xdr:col>21</xdr:col>
      <xdr:colOff>369794</xdr:colOff>
      <xdr:row>10</xdr:row>
      <xdr:rowOff>78441</xdr:rowOff>
    </xdr:to>
    <mc:AlternateContent xmlns:mc="http://schemas.openxmlformats.org/markup-compatibility/2006" xmlns:tsle="http://schemas.microsoft.com/office/drawing/2012/timeslicer">
      <mc:Choice Requires="tsle">
        <xdr:graphicFrame macro="">
          <xdr:nvGraphicFramePr>
            <xdr:cNvPr id="66" name="Accident Date 2">
              <a:extLst>
                <a:ext uri="{FF2B5EF4-FFF2-40B4-BE49-F238E27FC236}">
                  <a16:creationId xmlns:a16="http://schemas.microsoft.com/office/drawing/2014/main" id="{08120E4A-C9F5-4563-B486-7CD5B6F56531}"/>
                </a:ext>
              </a:extLst>
            </xdr:cNvPr>
            <xdr:cNvGraphicFramePr/>
          </xdr:nvGraphicFramePr>
          <xdr:xfrm>
            <a:off x="0" y="0"/>
            <a:ext cx="0" cy="0"/>
          </xdr:xfrm>
          <a:graphic>
            <a:graphicData uri="http://schemas.microsoft.com/office/drawing/2012/timeslicer">
              <tsle:timeslicer name="Accident Date 2"/>
            </a:graphicData>
          </a:graphic>
        </xdr:graphicFrame>
      </mc:Choice>
      <mc:Fallback xmlns="">
        <xdr:sp macro="" textlink="">
          <xdr:nvSpPr>
            <xdr:cNvPr id="0" name=""/>
            <xdr:cNvSpPr>
              <a:spLocks noTextEdit="1"/>
            </xdr:cNvSpPr>
          </xdr:nvSpPr>
          <xdr:spPr>
            <a:xfrm>
              <a:off x="12001500" y="1064559"/>
              <a:ext cx="2487706" cy="10309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358589</xdr:colOff>
      <xdr:row>26</xdr:row>
      <xdr:rowOff>56029</xdr:rowOff>
    </xdr:from>
    <xdr:to>
      <xdr:col>21</xdr:col>
      <xdr:colOff>414618</xdr:colOff>
      <xdr:row>33</xdr:row>
      <xdr:rowOff>190500</xdr:rowOff>
    </xdr:to>
    <xdr:graphicFrame macro="">
      <xdr:nvGraphicFramePr>
        <xdr:cNvPr id="68" name="Chart 67">
          <a:extLst>
            <a:ext uri="{FF2B5EF4-FFF2-40B4-BE49-F238E27FC236}">
              <a16:creationId xmlns:a16="http://schemas.microsoft.com/office/drawing/2014/main" id="{3B6AA920-E42E-4E2A-AF9A-176131D12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D" refreshedDate="45823.420475694445" createdVersion="8" refreshedVersion="8" minRefreshableVersion="3" recordCount="307973" xr:uid="{46FBDC19-0DDE-47E7-8F49-3DC593B1390F}">
  <cacheSource type="worksheet">
    <worksheetSource ref="A1:W307974" sheet="Data"/>
  </cacheSource>
  <cacheFields count="23">
    <cacheField name="Accident_Index" numFmtId="0">
      <sharedItems containsMixedTypes="1" containsNumber="1" containsInteger="1" minValue="2010000" maxValue="2.0100000000000001E+307"/>
    </cacheField>
    <cacheField name="Accident Date" numFmtId="14">
      <sharedItems containsSemiMixedTypes="0" containsNonDate="0" containsDate="1" containsString="0" minDate="2021-01-01T00:00:00" maxDate="2023-01-01T00:00:00" count="730">
        <d v="2021-01-01T00:00:00"/>
        <d v="2021-01-05T00:00:00"/>
        <d v="2021-01-04T00:00:00"/>
        <d v="2021-01-06T00:00:00"/>
        <d v="2021-01-08T00:00:00"/>
        <d v="2021-01-02T00:00:00"/>
        <d v="2021-01-07T00:00:00"/>
        <d v="2021-01-10T00:00:00"/>
        <d v="2021-01-16T00:00:00"/>
        <d v="2021-01-12T00:00:00"/>
        <d v="2021-01-09T00:00:00"/>
        <d v="2021-01-17T00:00:00"/>
        <d v="2021-01-25T00:00:00"/>
        <d v="2021-01-26T00:00:00"/>
        <d v="2021-01-19T00:00:00"/>
        <d v="2021-01-27T00:00:00"/>
        <d v="2021-01-21T00:00:00"/>
        <d v="2021-01-22T00:00:00"/>
        <d v="2021-01-31T00:00:00"/>
        <d v="2021-02-03T00:00:00"/>
        <d v="2021-01-29T00:00:00"/>
        <d v="2021-01-28T00:00:00"/>
        <d v="2021-01-20T00:00:00"/>
        <d v="2021-01-15T00:00:00"/>
        <d v="2021-02-09T00:00:00"/>
        <d v="2021-01-23T00:00:00"/>
        <d v="2021-02-10T00:00:00"/>
        <d v="2021-01-30T00:00:00"/>
        <d v="2021-02-12T00:00:00"/>
        <d v="2021-02-16T00:00:00"/>
        <d v="2021-02-14T00:00:00"/>
        <d v="2021-02-18T00:00:00"/>
        <d v="2021-02-21T00:00:00"/>
        <d v="2021-02-15T00:00:00"/>
        <d v="2021-02-20T00:00:00"/>
        <d v="2021-02-27T00:00:00"/>
        <d v="2021-01-18T00:00:00"/>
        <d v="2021-02-07T00:00:00"/>
        <d v="2021-02-23T00:00:00"/>
        <d v="2021-02-22T00:00:00"/>
        <d v="2021-02-26T00:00:00"/>
        <d v="2021-03-04T00:00:00"/>
        <d v="2021-03-03T00:00:00"/>
        <d v="2021-03-06T00:00:00"/>
        <d v="2021-02-17T00:00:00"/>
        <d v="2021-03-09T00:00:00"/>
        <d v="2021-03-10T00:00:00"/>
        <d v="2021-03-02T00:00:00"/>
        <d v="2021-02-25T00:00:00"/>
        <d v="2021-03-14T00:00:00"/>
        <d v="2021-02-28T00:00:00"/>
        <d v="2021-02-11T00:00:00"/>
        <d v="2021-03-01T00:00:00"/>
        <d v="2021-03-13T00:00:00"/>
        <d v="2021-03-17T00:00:00"/>
        <d v="2021-02-24T00:00:00"/>
        <d v="2021-03-20T00:00:00"/>
        <d v="2021-02-05T00:00:00"/>
        <d v="2021-03-21T00:00:00"/>
        <d v="2021-03-24T00:00:00"/>
        <d v="2021-03-23T00:00:00"/>
        <d v="2021-03-25T00:00:00"/>
        <d v="2021-03-27T00:00:00"/>
        <d v="2021-03-28T00:00:00"/>
        <d v="2021-03-18T00:00:00"/>
        <d v="2021-03-30T00:00:00"/>
        <d v="2021-04-01T00:00:00"/>
        <d v="2021-03-31T00:00:00"/>
        <d v="2021-04-03T00:00:00"/>
        <d v="2021-04-06T00:00:00"/>
        <d v="2021-03-26T00:00:00"/>
        <d v="2021-03-22T00:00:00"/>
        <d v="2021-03-29T00:00:00"/>
        <d v="2021-03-19T00:00:00"/>
        <d v="2021-04-08T00:00:00"/>
        <d v="2021-04-09T00:00:00"/>
        <d v="2021-04-12T00:00:00"/>
        <d v="2021-04-10T00:00:00"/>
        <d v="2021-04-15T00:00:00"/>
        <d v="2021-04-14T00:00:00"/>
        <d v="2021-04-17T00:00:00"/>
        <d v="2021-04-20T00:00:00"/>
        <d v="2021-04-22T00:00:00"/>
        <d v="2021-04-16T00:00:00"/>
        <d v="2021-04-25T00:00:00"/>
        <d v="2021-04-26T00:00:00"/>
        <d v="2021-04-23T00:00:00"/>
        <d v="2021-04-24T00:00:00"/>
        <d v="2021-04-27T00:00:00"/>
        <d v="2021-04-29T00:00:00"/>
        <d v="2021-04-30T00:00:00"/>
        <d v="2021-05-03T00:00:00"/>
        <d v="2021-05-01T00:00:00"/>
        <d v="2021-05-08T00:00:00"/>
        <d v="2021-05-10T00:00:00"/>
        <d v="2021-05-06T00:00:00"/>
        <d v="2021-05-07T00:00:00"/>
        <d v="2021-05-13T00:00:00"/>
        <d v="2021-05-02T00:00:00"/>
        <d v="2021-05-15T00:00:00"/>
        <d v="2021-05-18T00:00:00"/>
        <d v="2021-05-05T00:00:00"/>
        <d v="2021-05-04T00:00:00"/>
        <d v="2021-05-19T00:00:00"/>
        <d v="2021-05-21T00:00:00"/>
        <d v="2021-05-23T00:00:00"/>
        <d v="2021-05-16T00:00:00"/>
        <d v="2021-05-26T00:00:00"/>
        <d v="2021-05-17T00:00:00"/>
        <d v="2021-05-20T00:00:00"/>
        <d v="2021-05-28T00:00:00"/>
        <d v="2021-06-30T00:00:00"/>
        <d v="2021-05-22T00:00:00"/>
        <d v="2021-05-29T00:00:00"/>
        <d v="2021-06-03T00:00:00"/>
        <d v="2021-05-31T00:00:00"/>
        <d v="2021-06-02T00:00:00"/>
        <d v="2021-06-01T00:00:00"/>
        <d v="2021-06-06T00:00:00"/>
        <d v="2021-06-05T00:00:00"/>
        <d v="2021-06-08T00:00:00"/>
        <d v="2021-06-09T00:00:00"/>
        <d v="2021-05-30T00:00:00"/>
        <d v="2021-06-11T00:00:00"/>
        <d v="2021-06-12T00:00:00"/>
        <d v="2021-06-10T00:00:00"/>
        <d v="2021-06-16T00:00:00"/>
        <d v="2021-06-15T00:00:00"/>
        <d v="2021-06-14T00:00:00"/>
        <d v="2021-06-17T00:00:00"/>
        <d v="2021-06-19T00:00:00"/>
        <d v="2021-06-18T00:00:00"/>
        <d v="2021-06-20T00:00:00"/>
        <d v="2021-08-14T00:00:00"/>
        <d v="2021-06-23T00:00:00"/>
        <d v="2021-06-26T00:00:00"/>
        <d v="2021-06-28T00:00:00"/>
        <d v="2021-06-25T00:00:00"/>
        <d v="2021-06-27T00:00:00"/>
        <d v="2021-06-21T00:00:00"/>
        <d v="2021-06-29T00:00:00"/>
        <d v="2021-06-24T00:00:00"/>
        <d v="2021-07-02T00:00:00"/>
        <d v="2021-07-03T00:00:00"/>
        <d v="2021-07-05T00:00:00"/>
        <d v="2021-07-04T00:00:00"/>
        <d v="2021-07-01T00:00:00"/>
        <d v="2021-07-07T00:00:00"/>
        <d v="2021-07-10T00:00:00"/>
        <d v="2021-07-08T00:00:00"/>
        <d v="2021-07-06T00:00:00"/>
        <d v="2021-07-11T00:00:00"/>
        <d v="2021-07-09T00:00:00"/>
        <d v="2021-07-14T00:00:00"/>
        <d v="2021-07-13T00:00:00"/>
        <d v="2021-07-16T00:00:00"/>
        <d v="2021-07-15T00:00:00"/>
        <d v="2021-07-20T00:00:00"/>
        <d v="2021-07-18T00:00:00"/>
        <d v="2021-07-19T00:00:00"/>
        <d v="2021-07-23T00:00:00"/>
        <d v="2021-07-22T00:00:00"/>
        <d v="2021-07-21T00:00:00"/>
        <d v="2021-07-26T00:00:00"/>
        <d v="2021-07-25T00:00:00"/>
        <d v="2021-07-28T00:00:00"/>
        <d v="2021-07-29T00:00:00"/>
        <d v="2021-08-02T00:00:00"/>
        <d v="2021-07-27T00:00:00"/>
        <d v="2021-08-01T00:00:00"/>
        <d v="2021-08-04T00:00:00"/>
        <d v="2021-08-05T00:00:00"/>
        <d v="2021-08-07T00:00:00"/>
        <d v="2021-08-06T00:00:00"/>
        <d v="2021-08-09T00:00:00"/>
        <d v="2021-08-08T00:00:00"/>
        <d v="2021-07-31T00:00:00"/>
        <d v="2021-08-10T00:00:00"/>
        <d v="2021-08-12T00:00:00"/>
        <d v="2021-08-13T00:00:00"/>
        <d v="2021-08-16T00:00:00"/>
        <d v="2021-08-18T00:00:00"/>
        <d v="2021-08-17T00:00:00"/>
        <d v="2021-08-21T00:00:00"/>
        <d v="2021-08-20T00:00:00"/>
        <d v="2021-08-15T00:00:00"/>
        <d v="2021-08-24T00:00:00"/>
        <d v="2021-08-23T00:00:00"/>
        <d v="2021-08-27T00:00:00"/>
        <d v="2021-08-31T00:00:00"/>
        <d v="2021-08-28T00:00:00"/>
        <d v="2021-09-04T00:00:00"/>
        <d v="2021-09-02T00:00:00"/>
        <d v="2021-09-03T00:00:00"/>
        <d v="2021-09-06T00:00:00"/>
        <d v="2021-09-08T00:00:00"/>
        <d v="2021-09-09T00:00:00"/>
        <d v="2021-09-14T00:00:00"/>
        <d v="2021-09-12T00:00:00"/>
        <d v="2021-09-01T00:00:00"/>
        <d v="2021-09-17T00:00:00"/>
        <d v="2021-09-19T00:00:00"/>
        <d v="2021-09-10T00:00:00"/>
        <d v="2021-09-22T00:00:00"/>
        <d v="2021-09-21T00:00:00"/>
        <d v="2021-09-15T00:00:00"/>
        <d v="2021-09-16T00:00:00"/>
        <d v="2021-09-25T00:00:00"/>
        <d v="2021-09-27T00:00:00"/>
        <d v="2021-09-23T00:00:00"/>
        <d v="2021-09-28T00:00:00"/>
        <d v="2021-09-26T00:00:00"/>
        <d v="2021-09-30T00:00:00"/>
        <d v="2021-10-02T00:00:00"/>
        <d v="2021-10-01T00:00:00"/>
        <d v="2021-10-03T00:00:00"/>
        <d v="2021-10-06T00:00:00"/>
        <d v="2021-09-29T00:00:00"/>
        <d v="2021-10-12T00:00:00"/>
        <d v="2021-10-09T00:00:00"/>
        <d v="2021-10-10T00:00:00"/>
        <d v="2021-10-04T00:00:00"/>
        <d v="2021-10-08T00:00:00"/>
        <d v="2021-10-13T00:00:00"/>
        <d v="2021-10-15T00:00:00"/>
        <d v="2021-10-18T00:00:00"/>
        <d v="2021-10-17T00:00:00"/>
        <d v="2021-10-19T00:00:00"/>
        <d v="2021-10-20T00:00:00"/>
        <d v="2021-10-22T00:00:00"/>
        <d v="2021-10-23T00:00:00"/>
        <d v="2021-10-24T00:00:00"/>
        <d v="2021-10-16T00:00:00"/>
        <d v="2021-10-21T00:00:00"/>
        <d v="2021-10-26T00:00:00"/>
        <d v="2021-10-28T00:00:00"/>
        <d v="2021-10-30T00:00:00"/>
        <d v="2021-11-01T00:00:00"/>
        <d v="2021-10-29T00:00:00"/>
        <d v="2021-11-03T00:00:00"/>
        <d v="2021-11-04T00:00:00"/>
        <d v="2021-11-02T00:00:00"/>
        <d v="2021-11-07T00:00:00"/>
        <d v="2021-10-31T00:00:00"/>
        <d v="2021-11-05T00:00:00"/>
        <d v="2021-11-06T00:00:00"/>
        <d v="2021-11-10T00:00:00"/>
        <d v="2021-11-11T00:00:00"/>
        <d v="2021-11-12T00:00:00"/>
        <d v="2021-11-13T00:00:00"/>
        <d v="2021-11-15T00:00:00"/>
        <d v="2021-11-17T00:00:00"/>
        <d v="2021-11-16T00:00:00"/>
        <d v="2021-11-23T00:00:00"/>
        <d v="2021-11-19T00:00:00"/>
        <d v="2021-11-25T00:00:00"/>
        <d v="2021-11-28T00:00:00"/>
        <d v="2021-11-30T00:00:00"/>
        <d v="2021-12-01T00:00:00"/>
        <d v="2021-12-03T00:00:00"/>
        <d v="2021-11-26T00:00:00"/>
        <d v="2021-12-04T00:00:00"/>
        <d v="2021-12-02T00:00:00"/>
        <d v="2021-12-07T00:00:00"/>
        <d v="2021-11-29T00:00:00"/>
        <d v="2021-12-08T00:00:00"/>
        <d v="2021-12-05T00:00:00"/>
        <d v="2021-12-11T00:00:00"/>
        <d v="2021-12-13T00:00:00"/>
        <d v="2021-12-09T00:00:00"/>
        <d v="2021-12-10T00:00:00"/>
        <d v="2021-12-12T00:00:00"/>
        <d v="2021-12-14T00:00:00"/>
        <d v="2021-12-17T00:00:00"/>
        <d v="2021-12-16T00:00:00"/>
        <d v="2021-12-18T00:00:00"/>
        <d v="2021-12-19T00:00:00"/>
        <d v="2021-12-15T00:00:00"/>
        <d v="2021-12-06T00:00:00"/>
        <d v="2021-12-21T00:00:00"/>
        <d v="2021-12-22T00:00:00"/>
        <d v="2021-12-20T00:00:00"/>
        <d v="2021-12-24T00:00:00"/>
        <d v="2021-12-28T00:00:00"/>
        <d v="2021-12-31T00:00:00"/>
        <d v="2021-12-30T00:00:00"/>
        <d v="2021-01-14T00:00:00"/>
        <d v="2021-02-06T00:00:00"/>
        <d v="2021-02-13T00:00:00"/>
        <d v="2021-03-12T00:00:00"/>
        <d v="2021-03-16T00:00:00"/>
        <d v="2021-03-05T00:00:00"/>
        <d v="2021-04-02T00:00:00"/>
        <d v="2021-04-28T00:00:00"/>
        <d v="2021-04-04T00:00:00"/>
        <d v="2021-04-07T00:00:00"/>
        <d v="2021-04-21T00:00:00"/>
        <d v="2021-03-11T00:00:00"/>
        <d v="2021-05-12T00:00:00"/>
        <d v="2021-05-14T00:00:00"/>
        <d v="2021-06-04T00:00:00"/>
        <d v="2021-06-22T00:00:00"/>
        <d v="2021-07-17T00:00:00"/>
        <d v="2021-07-24T00:00:00"/>
        <d v="2021-07-30T00:00:00"/>
        <d v="2021-07-12T00:00:00"/>
        <d v="2021-08-11T00:00:00"/>
        <d v="2021-08-25T00:00:00"/>
        <d v="2021-08-30T00:00:00"/>
        <d v="2021-09-24T00:00:00"/>
        <d v="2021-09-05T00:00:00"/>
        <d v="2021-10-07T00:00:00"/>
        <d v="2021-10-05T00:00:00"/>
        <d v="2021-12-26T00:00:00"/>
        <d v="2021-12-23T00:00:00"/>
        <d v="2021-11-27T00:00:00"/>
        <d v="2021-11-24T00:00:00"/>
        <d v="2021-11-18T00:00:00"/>
        <d v="2021-11-20T00:00:00"/>
        <d v="2021-01-24T00:00:00"/>
        <d v="2021-02-01T00:00:00"/>
        <d v="2021-02-02T00:00:00"/>
        <d v="2021-02-04T00:00:00"/>
        <d v="2021-02-08T00:00:00"/>
        <d v="2021-01-13T00:00:00"/>
        <d v="2021-01-11T00:00:00"/>
        <d v="2021-02-19T00:00:00"/>
        <d v="2021-03-07T00:00:00"/>
        <d v="2021-03-08T00:00:00"/>
        <d v="2021-03-15T00:00:00"/>
        <d v="2021-04-05T00:00:00"/>
        <d v="2021-04-11T00:00:00"/>
        <d v="2021-04-13T00:00:00"/>
        <d v="2021-04-18T00:00:00"/>
        <d v="2021-04-19T00:00:00"/>
        <d v="2021-05-09T00:00:00"/>
        <d v="2021-05-11T00:00:00"/>
        <d v="2021-05-24T00:00:00"/>
        <d v="2021-05-25T00:00:00"/>
        <d v="2021-05-27T00:00:00"/>
        <d v="2021-06-07T00:00:00"/>
        <d v="2021-06-13T00:00:00"/>
        <d v="2021-08-03T00:00:00"/>
        <d v="2021-08-19T00:00:00"/>
        <d v="2021-08-22T00:00:00"/>
        <d v="2021-08-26T00:00:00"/>
        <d v="2021-08-29T00:00:00"/>
        <d v="2021-09-07T00:00:00"/>
        <d v="2021-09-11T00:00:00"/>
        <d v="2021-09-13T00:00:00"/>
        <d v="2021-09-18T00:00:00"/>
        <d v="2021-09-20T00:00:00"/>
        <d v="2021-10-11T00:00:00"/>
        <d v="2021-10-14T00:00:00"/>
        <d v="2021-10-25T00:00:00"/>
        <d v="2021-10-27T00:00:00"/>
        <d v="2021-11-09T00:00:00"/>
        <d v="2021-11-08T00:00:00"/>
        <d v="2021-11-14T00:00:00"/>
        <d v="2021-11-21T00:00:00"/>
        <d v="2021-11-22T00:00:00"/>
        <d v="2021-12-29T00:00:00"/>
        <d v="2021-12-27T00:00:00"/>
        <d v="2021-01-03T00:00:00"/>
        <d v="2021-12-25T00:00:00"/>
        <d v="2022-01-11T00:00:00"/>
        <d v="2022-01-12T00:00:00"/>
        <d v="2022-01-02T00:00:00"/>
        <d v="2022-01-04T00:00:00"/>
        <d v="2022-01-18T00:00:00"/>
        <d v="2022-01-03T00:00:00"/>
        <d v="2022-01-05T00:00:00"/>
        <d v="2022-01-07T00:00:00"/>
        <d v="2022-01-15T00:00:00"/>
        <d v="2022-01-13T00:00:00"/>
        <d v="2022-01-14T00:00:00"/>
        <d v="2022-01-17T00:00:00"/>
        <d v="2022-01-19T00:00:00"/>
        <d v="2022-01-10T00:00:00"/>
        <d v="2022-01-24T00:00:00"/>
        <d v="2022-01-20T00:00:00"/>
        <d v="2022-01-26T00:00:00"/>
        <d v="2022-01-28T00:00:00"/>
        <d v="2022-01-27T00:00:00"/>
        <d v="2022-01-29T00:00:00"/>
        <d v="2022-01-25T00:00:00"/>
        <d v="2022-01-31T00:00:00"/>
        <d v="2022-02-02T00:00:00"/>
        <d v="2022-02-05T00:00:00"/>
        <d v="2022-02-03T00:00:00"/>
        <d v="2022-02-04T00:00:00"/>
        <d v="2022-02-08T00:00:00"/>
        <d v="2022-02-09T00:00:00"/>
        <d v="2022-02-11T00:00:00"/>
        <d v="2022-02-12T00:00:00"/>
        <d v="2022-02-06T00:00:00"/>
        <d v="2022-02-13T00:00:00"/>
        <d v="2022-02-14T00:00:00"/>
        <d v="2022-02-28T00:00:00"/>
        <d v="2022-02-16T00:00:00"/>
        <d v="2022-02-15T00:00:00"/>
        <d v="2022-02-17T00:00:00"/>
        <d v="2022-02-20T00:00:00"/>
        <d v="2022-02-18T00:00:00"/>
        <d v="2022-02-19T00:00:00"/>
        <d v="2022-02-23T00:00:00"/>
        <d v="2022-02-21T00:00:00"/>
        <d v="2022-02-22T00:00:00"/>
        <d v="2022-02-24T00:00:00"/>
        <d v="2022-02-25T00:00:00"/>
        <d v="2022-03-05T00:00:00"/>
        <d v="2022-03-03T00:00:00"/>
        <d v="2022-03-07T00:00:00"/>
        <d v="2022-03-08T00:00:00"/>
        <d v="2022-03-02T00:00:00"/>
        <d v="2022-03-06T00:00:00"/>
        <d v="2022-03-04T00:00:00"/>
        <d v="2022-03-10T00:00:00"/>
        <d v="2022-03-15T00:00:00"/>
        <d v="2022-03-12T00:00:00"/>
        <d v="2022-03-14T00:00:00"/>
        <d v="2022-03-13T00:00:00"/>
        <d v="2022-03-16T00:00:00"/>
        <d v="2022-03-20T00:00:00"/>
        <d v="2022-03-18T00:00:00"/>
        <d v="2022-03-23T00:00:00"/>
        <d v="2022-03-19T00:00:00"/>
        <d v="2022-03-24T00:00:00"/>
        <d v="2022-03-25T00:00:00"/>
        <d v="2022-03-27T00:00:00"/>
        <d v="2022-03-26T00:00:00"/>
        <d v="2022-03-28T00:00:00"/>
        <d v="2022-03-31T00:00:00"/>
        <d v="2022-04-01T00:00:00"/>
        <d v="2022-04-06T00:00:00"/>
        <d v="2022-03-30T00:00:00"/>
        <d v="2022-03-22T00:00:00"/>
        <d v="2022-04-05T00:00:00"/>
        <d v="2022-04-16T00:00:00"/>
        <d v="2022-04-07T00:00:00"/>
        <d v="2022-04-08T00:00:00"/>
        <d v="2022-04-11T00:00:00"/>
        <d v="2022-04-10T00:00:00"/>
        <d v="2022-04-09T00:00:00"/>
        <d v="2022-04-13T00:00:00"/>
        <d v="2022-04-14T00:00:00"/>
        <d v="2022-04-02T00:00:00"/>
        <d v="2022-04-12T00:00:00"/>
        <d v="2022-04-04T00:00:00"/>
        <d v="2022-04-23T00:00:00"/>
        <d v="2022-04-21T00:00:00"/>
        <d v="2022-04-22T00:00:00"/>
        <d v="2022-04-24T00:00:00"/>
        <d v="2022-04-26T00:00:00"/>
        <d v="2022-04-29T00:00:00"/>
        <d v="2022-05-01T00:00:00"/>
        <d v="2022-04-30T00:00:00"/>
        <d v="2022-05-04T00:00:00"/>
        <d v="2022-04-27T00:00:00"/>
        <d v="2022-05-05T00:00:00"/>
        <d v="2022-04-28T00:00:00"/>
        <d v="2022-04-15T00:00:00"/>
        <d v="2022-05-07T00:00:00"/>
        <d v="2022-05-06T00:00:00"/>
        <d v="2022-05-09T00:00:00"/>
        <d v="2022-05-08T00:00:00"/>
        <d v="2022-05-02T00:00:00"/>
        <d v="2022-04-17T00:00:00"/>
        <d v="2022-05-10T00:00:00"/>
        <d v="2022-05-03T00:00:00"/>
        <d v="2022-05-11T00:00:00"/>
        <d v="2022-05-12T00:00:00"/>
        <d v="2022-05-13T00:00:00"/>
        <d v="2022-05-16T00:00:00"/>
        <d v="2022-05-14T00:00:00"/>
        <d v="2022-05-17T00:00:00"/>
        <d v="2022-05-19T00:00:00"/>
        <d v="2022-05-20T00:00:00"/>
        <d v="2022-05-23T00:00:00"/>
        <d v="2022-05-25T00:00:00"/>
        <d v="2022-05-24T00:00:00"/>
        <d v="2022-05-26T00:00:00"/>
        <d v="2022-05-27T00:00:00"/>
        <d v="2022-05-30T00:00:00"/>
        <d v="2022-06-01T00:00:00"/>
        <d v="2022-05-29T00:00:00"/>
        <d v="2022-05-28T00:00:00"/>
        <d v="2022-05-31T00:00:00"/>
        <d v="2022-06-03T00:00:00"/>
        <d v="2022-05-21T00:00:00"/>
        <d v="2022-06-06T00:00:00"/>
        <d v="2022-06-02T00:00:00"/>
        <d v="2022-06-07T00:00:00"/>
        <d v="2022-06-08T00:00:00"/>
        <d v="2022-06-10T00:00:00"/>
        <d v="2022-06-11T00:00:00"/>
        <d v="2022-06-12T00:00:00"/>
        <d v="2022-06-17T00:00:00"/>
        <d v="2022-06-16T00:00:00"/>
        <d v="2022-06-19T00:00:00"/>
        <d v="2022-06-18T00:00:00"/>
        <d v="2022-06-20T00:00:00"/>
        <d v="2022-06-21T00:00:00"/>
        <d v="2022-06-14T00:00:00"/>
        <d v="2022-06-24T00:00:00"/>
        <d v="2022-06-22T00:00:00"/>
        <d v="2022-06-23T00:00:00"/>
        <d v="2022-06-28T00:00:00"/>
        <d v="2022-06-26T00:00:00"/>
        <d v="2022-06-27T00:00:00"/>
        <d v="2022-06-09T00:00:00"/>
        <d v="2022-07-02T00:00:00"/>
        <d v="2022-07-05T00:00:00"/>
        <d v="2022-06-30T00:00:00"/>
        <d v="2022-07-01T00:00:00"/>
        <d v="2022-06-25T00:00:00"/>
        <d v="2022-07-07T00:00:00"/>
        <d v="2022-07-11T00:00:00"/>
        <d v="2022-07-09T00:00:00"/>
        <d v="2022-07-12T00:00:00"/>
        <d v="2022-07-08T00:00:00"/>
        <d v="2022-07-03T00:00:00"/>
        <d v="2022-07-13T00:00:00"/>
        <d v="2022-06-29T00:00:00"/>
        <d v="2022-07-04T00:00:00"/>
        <d v="2022-07-17T00:00:00"/>
        <d v="2022-07-18T00:00:00"/>
        <d v="2022-07-21T00:00:00"/>
        <d v="2022-07-16T00:00:00"/>
        <d v="2022-07-22T00:00:00"/>
        <d v="2022-07-23T00:00:00"/>
        <d v="2022-07-06T00:00:00"/>
        <d v="2022-07-15T00:00:00"/>
        <d v="2022-07-27T00:00:00"/>
        <d v="2022-07-28T00:00:00"/>
        <d v="2022-07-31T00:00:00"/>
        <d v="2022-07-20T00:00:00"/>
        <d v="2022-07-30T00:00:00"/>
        <d v="2022-08-05T00:00:00"/>
        <d v="2022-07-29T00:00:00"/>
        <d v="2022-08-09T00:00:00"/>
        <d v="2022-08-01T00:00:00"/>
        <d v="2022-08-08T00:00:00"/>
        <d v="2022-08-06T00:00:00"/>
        <d v="2022-08-12T00:00:00"/>
        <d v="2022-08-03T00:00:00"/>
        <d v="2022-08-13T00:00:00"/>
        <d v="2022-08-10T00:00:00"/>
        <d v="2022-08-18T00:00:00"/>
        <d v="2022-08-22T00:00:00"/>
        <d v="2022-08-20T00:00:00"/>
        <d v="2022-08-11T00:00:00"/>
        <d v="2022-08-19T00:00:00"/>
        <d v="2022-08-23T00:00:00"/>
        <d v="2022-08-25T00:00:00"/>
        <d v="2022-08-31T00:00:00"/>
        <d v="2022-08-29T00:00:00"/>
        <d v="2022-08-28T00:00:00"/>
        <d v="2022-09-03T00:00:00"/>
        <d v="2022-09-05T00:00:00"/>
        <d v="2022-09-07T00:00:00"/>
        <d v="2022-08-26T00:00:00"/>
        <d v="2022-09-09T00:00:00"/>
        <d v="2022-09-02T00:00:00"/>
        <d v="2022-09-08T00:00:00"/>
        <d v="2022-09-12T00:00:00"/>
        <d v="2022-09-11T00:00:00"/>
        <d v="2022-09-15T00:00:00"/>
        <d v="2022-09-14T00:00:00"/>
        <d v="2022-09-18T00:00:00"/>
        <d v="2022-09-19T00:00:00"/>
        <d v="2022-09-10T00:00:00"/>
        <d v="2022-09-16T00:00:00"/>
        <d v="2022-09-21T00:00:00"/>
        <d v="2022-09-26T00:00:00"/>
        <d v="2022-09-01T00:00:00"/>
        <d v="2022-09-20T00:00:00"/>
        <d v="2022-09-23T00:00:00"/>
        <d v="2022-09-06T00:00:00"/>
        <d v="2022-09-25T00:00:00"/>
        <d v="2022-09-24T00:00:00"/>
        <d v="2022-09-17T00:00:00"/>
        <d v="2022-09-22T00:00:00"/>
        <d v="2022-09-30T00:00:00"/>
        <d v="2022-09-29T00:00:00"/>
        <d v="2022-10-01T00:00:00"/>
        <d v="2022-10-02T00:00:00"/>
        <d v="2022-10-03T00:00:00"/>
        <d v="2022-10-04T00:00:00"/>
        <d v="2022-10-06T00:00:00"/>
        <d v="2022-10-10T00:00:00"/>
        <d v="2022-10-08T00:00:00"/>
        <d v="2022-10-11T00:00:00"/>
        <d v="2022-10-18T00:00:00"/>
        <d v="2022-10-14T00:00:00"/>
        <d v="2022-10-09T00:00:00"/>
        <d v="2022-10-13T00:00:00"/>
        <d v="2022-10-07T00:00:00"/>
        <d v="2022-10-16T00:00:00"/>
        <d v="2022-10-23T00:00:00"/>
        <d v="2022-10-25T00:00:00"/>
        <d v="2022-10-20T00:00:00"/>
        <d v="2022-10-27T00:00:00"/>
        <d v="2022-10-24T00:00:00"/>
        <d v="2022-10-15T00:00:00"/>
        <d v="2022-10-26T00:00:00"/>
        <d v="2022-10-28T00:00:00"/>
        <d v="2022-10-29T00:00:00"/>
        <d v="2022-11-01T00:00:00"/>
        <d v="2022-10-30T00:00:00"/>
        <d v="2022-10-22T00:00:00"/>
        <d v="2022-10-21T00:00:00"/>
        <d v="2022-11-03T00:00:00"/>
        <d v="2022-11-02T00:00:00"/>
        <d v="2022-11-08T00:00:00"/>
        <d v="2022-11-10T00:00:00"/>
        <d v="2022-11-05T00:00:00"/>
        <d v="2022-11-14T00:00:00"/>
        <d v="2022-11-06T00:00:00"/>
        <d v="2022-11-11T00:00:00"/>
        <d v="2022-11-12T00:00:00"/>
        <d v="2022-11-07T00:00:00"/>
        <d v="2022-11-15T00:00:00"/>
        <d v="2022-11-13T00:00:00"/>
        <d v="2022-11-20T00:00:00"/>
        <d v="2022-11-18T00:00:00"/>
        <d v="2022-11-17T00:00:00"/>
        <d v="2022-11-09T00:00:00"/>
        <d v="2022-11-16T00:00:00"/>
        <d v="2022-11-25T00:00:00"/>
        <d v="2022-11-24T00:00:00"/>
        <d v="2022-11-27T00:00:00"/>
        <d v="2022-11-22T00:00:00"/>
        <d v="2022-11-28T00:00:00"/>
        <d v="2022-11-04T00:00:00"/>
        <d v="2022-11-23T00:00:00"/>
        <d v="2022-12-05T00:00:00"/>
        <d v="2022-12-06T00:00:00"/>
        <d v="2022-12-07T00:00:00"/>
        <d v="2022-12-08T00:00:00"/>
        <d v="2022-11-26T00:00:00"/>
        <d v="2022-12-04T00:00:00"/>
        <d v="2022-12-03T00:00:00"/>
        <d v="2022-12-09T00:00:00"/>
        <d v="2022-11-30T00:00:00"/>
        <d v="2022-12-11T00:00:00"/>
        <d v="2022-11-19T00:00:00"/>
        <d v="2022-12-15T00:00:00"/>
        <d v="2022-11-29T00:00:00"/>
        <d v="2022-12-10T00:00:00"/>
        <d v="2022-12-13T00:00:00"/>
        <d v="2022-12-16T00:00:00"/>
        <d v="2022-12-14T00:00:00"/>
        <d v="2022-12-12T00:00:00"/>
        <d v="2022-12-01T00:00:00"/>
        <d v="2022-12-20T00:00:00"/>
        <d v="2022-12-24T00:00:00"/>
        <d v="2022-12-21T00:00:00"/>
        <d v="2022-12-31T00:00:00"/>
        <d v="2022-12-23T00:00:00"/>
        <d v="2022-12-27T00:00:00"/>
        <d v="2022-12-28T00:00:00"/>
        <d v="2022-01-16T00:00:00"/>
        <d v="2022-01-01T00:00:00"/>
        <d v="2022-01-23T00:00:00"/>
        <d v="2022-01-21T00:00:00"/>
        <d v="2022-02-10T00:00:00"/>
        <d v="2022-02-26T00:00:00"/>
        <d v="2022-03-29T00:00:00"/>
        <d v="2022-03-21T00:00:00"/>
        <d v="2022-03-17T00:00:00"/>
        <d v="2022-03-11T00:00:00"/>
        <d v="2022-04-19T00:00:00"/>
        <d v="2022-04-20T00:00:00"/>
        <d v="2022-05-18T00:00:00"/>
        <d v="2022-06-04T00:00:00"/>
        <d v="2022-06-15T00:00:00"/>
        <d v="2022-08-04T00:00:00"/>
        <d v="2022-08-16T00:00:00"/>
        <d v="2022-08-17T00:00:00"/>
        <d v="2022-07-26T00:00:00"/>
        <d v="2022-07-24T00:00:00"/>
        <d v="2022-07-14T00:00:00"/>
        <d v="2022-08-15T00:00:00"/>
        <d v="2022-08-24T00:00:00"/>
        <d v="2022-08-30T00:00:00"/>
        <d v="2022-09-27T00:00:00"/>
        <d v="2022-09-28T00:00:00"/>
        <d v="2022-10-05T00:00:00"/>
        <d v="2022-10-19T00:00:00"/>
        <d v="2022-10-17T00:00:00"/>
        <d v="2022-10-12T00:00:00"/>
        <d v="2022-12-22T00:00:00"/>
        <d v="2022-12-17T00:00:00"/>
        <d v="2022-12-19T00:00:00"/>
        <d v="2022-01-08T00:00:00"/>
        <d v="2022-01-09T00:00:00"/>
        <d v="2022-01-06T00:00:00"/>
        <d v="2022-01-22T00:00:00"/>
        <d v="2022-01-30T00:00:00"/>
        <d v="2022-02-01T00:00:00"/>
        <d v="2022-02-07T00:00:00"/>
        <d v="2022-02-27T00:00:00"/>
        <d v="2022-03-01T00:00:00"/>
        <d v="2022-03-09T00:00:00"/>
        <d v="2022-04-03T00:00:00"/>
        <d v="2022-04-18T00:00:00"/>
        <d v="2022-04-25T00:00:00"/>
        <d v="2022-05-15T00:00:00"/>
        <d v="2022-05-22T00:00:00"/>
        <d v="2022-06-05T00:00:00"/>
        <d v="2022-06-13T00:00:00"/>
        <d v="2022-07-10T00:00:00"/>
        <d v="2022-07-19T00:00:00"/>
        <d v="2022-08-02T00:00:00"/>
        <d v="2022-08-07T00:00:00"/>
        <d v="2022-08-14T00:00:00"/>
        <d v="2022-08-21T00:00:00"/>
        <d v="2022-08-27T00:00:00"/>
        <d v="2022-09-04T00:00:00"/>
        <d v="2022-09-13T00:00:00"/>
        <d v="2022-10-31T00:00:00"/>
        <d v="2022-11-21T00:00:00"/>
        <d v="2022-12-02T00:00:00"/>
        <d v="2022-12-18T00:00:00"/>
        <d v="2022-12-29T00:00:00"/>
        <d v="2022-12-30T00:00:00"/>
        <d v="2022-12-26T00:00:00"/>
        <d v="2022-07-25T00:00:00"/>
        <d v="2022-12-25T00:00:00"/>
      </sharedItems>
    </cacheField>
    <cacheField name="Month" numFmtId="14">
      <sharedItems count="12">
        <s v="January"/>
        <s v="February"/>
        <s v="March"/>
        <s v="April"/>
        <s v="May"/>
        <s v="June"/>
        <s v="August"/>
        <s v="July"/>
        <s v="September"/>
        <s v="October"/>
        <s v="November"/>
        <s v="December"/>
      </sharedItems>
    </cacheField>
    <cacheField name="Year" numFmtId="14">
      <sharedItems count="2">
        <s v="2021"/>
        <s v="2022"/>
      </sharedItems>
    </cacheField>
    <cacheField name="Day_of_Week" numFmtId="0">
      <sharedItems count="7">
        <s v="Thursday"/>
        <s v="Monday"/>
        <s v="Sunday"/>
        <s v="Tuesday"/>
        <s v="Friday"/>
        <s v="Wednesday"/>
        <s v="Saturday"/>
      </sharedItems>
    </cacheField>
    <cacheField name="Junction_Control" numFmtId="0">
      <sharedItems/>
    </cacheField>
    <cacheField name="Junction_Detail" numFmtId="0">
      <sharedItems/>
    </cacheField>
    <cacheField name="Accident_Severity" numFmtId="0">
      <sharedItems count="3">
        <s v="Serious"/>
        <s v="Slight"/>
        <s v="Fatal"/>
      </sharedItems>
    </cacheField>
    <cacheField name="Latitude" numFmtId="0">
      <sharedItems containsSemiMixedTypes="0" containsString="0" containsNumber="1" minValue="49.914487999999999" maxValue="60.598055000000002"/>
    </cacheField>
    <cacheField name="Light_Conditions" numFmtId="0">
      <sharedItems count="6">
        <s v="Daylight"/>
        <s v="Darkness - lights lit"/>
        <s v="Darkness - lighting unknown"/>
        <s v="Darkness - lights unlit"/>
        <s v="Darkness - no lighting"/>
        <s v="Dark" f="1"/>
      </sharedItems>
    </cacheField>
    <cacheField name="Local_Authority_(District)" numFmtId="0">
      <sharedItems/>
    </cacheField>
    <cacheField name="Carriageway_Hazards" numFmtId="0">
      <sharedItems/>
    </cacheField>
    <cacheField name="Longitude" numFmtId="0">
      <sharedItems containsSemiMixedTypes="0" containsString="0" containsNumber="1" minValue="-7.5162250000000004" maxValue="1.759398"/>
    </cacheField>
    <cacheField name="Number_of_Casualties" numFmtId="0">
      <sharedItems containsSemiMixedTypes="0" containsString="0" containsNumber="1" containsInteger="1" minValue="1" maxValue="48"/>
    </cacheField>
    <cacheField name="Number_of_Vehicles" numFmtId="0">
      <sharedItems containsSemiMixedTypes="0" containsString="0" containsNumber="1" containsInteger="1" minValue="1" maxValue="32"/>
    </cacheField>
    <cacheField name="Police_Force" numFmtId="0">
      <sharedItems/>
    </cacheField>
    <cacheField name="Road_Surface_Conditions" numFmtId="0">
      <sharedItems count="8">
        <s v="Dry"/>
        <s v="Wet or damp"/>
        <s v="Frost or ice"/>
        <s v="Snow"/>
        <s v="Flood over 3cm. deep"/>
        <s v="Not Recorded"/>
        <s v="Wet" f="1"/>
        <s v="Snow/Ice" f="1"/>
      </sharedItems>
    </cacheField>
    <cacheField name="Road_Type" numFmtId="0">
      <sharedItems count="6">
        <s v="One way street"/>
        <s v="Single carriageway"/>
        <s v="Dual carriageway"/>
        <s v="Roundabout"/>
        <s v="Slip road"/>
        <s v="Not Recorded"/>
      </sharedItems>
    </cacheField>
    <cacheField name="Speed_limit" numFmtId="0">
      <sharedItems containsSemiMixedTypes="0" containsString="0" containsNumber="1" containsInteger="1" minValue="10" maxValue="70"/>
    </cacheField>
    <cacheField name="Time" numFmtId="0">
      <sharedItems containsNonDate="0" containsDate="1" containsString="0" containsBlank="1" minDate="1899-12-30T00:01:00" maxDate="1899-12-30T23:59:00"/>
    </cacheField>
    <cacheField name="Urban_or_Rural_Area" numFmtId="0">
      <sharedItems count="2">
        <s v="Urban"/>
        <s v="Rural"/>
      </sharedItems>
    </cacheField>
    <cacheField name="Weather_Conditions" numFmtId="0">
      <sharedItems count="9">
        <s v="Fine no high winds"/>
        <s v="Other"/>
        <s v="Raining no high winds"/>
        <s v="Snowing no high winds"/>
        <s v="Fine + high winds"/>
        <s v="Raining + high winds"/>
        <s v="Not Recorded"/>
        <s v="Snowing + high winds"/>
        <s v="Fog or mist"/>
      </sharedItems>
    </cacheField>
    <cacheField name="Vehicle_Type" numFmtId="0">
      <sharedItems count="20">
        <s v="Car"/>
        <s v="Taxi/Private hire car"/>
        <s v="Motorcycle over 500cc"/>
        <s v="Van / Goods 3.5 tonnes mgw or under"/>
        <s v="Goods over 3.5t. and under 7.5t"/>
        <s v="Motorcycle 125cc and under"/>
        <s v="Motorcycle 50cc and under"/>
        <s v="Bus or coach (17 or more pass seats)"/>
        <s v="Goods 7.5 tonnes mgw and over"/>
        <s v="Other vehicle"/>
        <s v="Motorcycle over 125cc and up to 500cc"/>
        <s v="Agricultural vehicle"/>
        <s v="Minibus (8 - 16 passenger seats)"/>
        <s v="Pedal cycle"/>
        <s v="Ridden horse"/>
        <s v="Bus" f="1"/>
        <s v="Cars" f="1"/>
        <s v="Van" f="1"/>
        <s v="Motorcycle" f="1"/>
        <s v="Others" f="1"/>
      </sharedItems>
    </cacheField>
  </cacheFields>
  <calculatedItems count="9">
    <calculatedItem formula="Vehicle_Type['Bus or coach (17 or more pass seats)']+Vehicle_Type['Minibus (8 - 16 passenger seats)']">
      <pivotArea cacheIndex="1" outline="0" fieldPosition="0">
        <references count="1">
          <reference field="22" count="1">
            <x v="15"/>
          </reference>
        </references>
      </pivotArea>
    </calculatedItem>
    <calculatedItem formula="Vehicle_Type[Car]+Vehicle_Type['Taxi/Private hire car']">
      <pivotArea cacheIndex="1" outline="0" fieldPosition="0">
        <references count="1">
          <reference field="22" count="1">
            <x v="16"/>
          </reference>
        </references>
      </pivotArea>
    </calculatedItem>
    <calculatedItem formula="Vehicle_Type['Goods 7.5 tonnes mgw and over']+Vehicle_Type['Goods over 3.5t. and under 7.5t']+Vehicle_Type['Van / Goods 3.5 tonnes mgw or under']">
      <pivotArea cacheIndex="1" outline="0" fieldPosition="0">
        <references count="1">
          <reference field="22" count="1">
            <x v="17"/>
          </reference>
        </references>
      </pivotArea>
    </calculatedItem>
    <calculatedItem formula="Vehicle_Type['Motorcycle 125cc and under']+Vehicle_Type['Motorcycle 50cc and under']+Vehicle_Type['Motorcycle over 125cc and up to 500cc']+Vehicle_Type['Motorcycle over 500cc']">
      <pivotArea cacheIndex="1" outline="0" fieldPosition="0">
        <references count="1">
          <reference field="22" count="1">
            <x v="18"/>
          </reference>
        </references>
      </pivotArea>
    </calculatedItem>
    <calculatedItem formula="Vehicle_Type['Other vehicle']+Vehicle_Type['Pedal cycle']+Vehicle_Type['Pedal cycle']">
      <pivotArea cacheIndex="1" outline="0" fieldPosition="0">
        <references count="1">
          <reference field="22" count="1">
            <x v="19"/>
          </reference>
        </references>
      </pivotArea>
    </calculatedItem>
    <calculatedItem formula="Vehicle_Type['Other vehicle']+Vehicle_Type['Pedal cycle']+Vehicle_Type['Ridden horse']">
      <pivotArea cacheIndex="1" fieldPosition="0">
        <references count="1">
          <reference field="22" count="1">
            <x v="19"/>
          </reference>
        </references>
      </pivotArea>
    </calculatedItem>
    <calculatedItem formula="Road_Surface_Conditions['Wet or damp']+Road_Surface_Conditions['Flood over 3cm. deep']">
      <pivotArea cacheIndex="1" outline="0" fieldPosition="0">
        <references count="1">
          <reference field="16" count="1">
            <x v="6"/>
          </reference>
        </references>
      </pivotArea>
    </calculatedItem>
    <calculatedItem formula="Road_Surface_Conditions['Frost or ice']+Road_Surface_Conditions[Snow]">
      <pivotArea cacheIndex="1" outline="0" fieldPosition="0">
        <references count="1">
          <reference field="16" count="1">
            <x v="7"/>
          </reference>
        </references>
      </pivotArea>
    </calculatedItem>
    <calculatedItem formula="Light_Conditions['Darkness - lighting unknown']+Light_Conditions['Darkness - lights lit']+Light_Conditions['Darkness - lights unlit']+Light_Conditions['Darkness - no lighting']">
      <pivotArea cacheIndex="1" outline="0" fieldPosition="0">
        <references count="1">
          <reference field="9" count="1">
            <x v="5"/>
          </reference>
        </references>
      </pivotArea>
    </calculatedItem>
  </calculatedItems>
  <extLst>
    <ext xmlns:x14="http://schemas.microsoft.com/office/spreadsheetml/2009/9/main" uri="{725AE2AE-9491-48be-B2B4-4EB974FC3084}">
      <x14:pivotCacheDefinition pivotCacheId="92031502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C6B0F9-45DB-47C7-80BF-0A9F2AEDC8BC}"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B34" firstHeaderRow="1" firstDataRow="1" firstDataCol="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showAll="0"/>
    <pivotField showAll="0"/>
    <pivotField showAll="0"/>
    <pivotField showAll="0"/>
    <pivotField showAll="0"/>
    <pivotField showAll="0">
      <items count="4">
        <item x="2"/>
        <item x="0"/>
        <item x="1"/>
        <item t="default"/>
      </items>
    </pivotField>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5"/>
        <item x="3"/>
        <item x="1"/>
        <item f="1" x="6"/>
        <item f="1" x="7"/>
        <item t="default"/>
      </items>
    </pivotField>
    <pivotField showAll="0"/>
    <pivotField showAll="0"/>
    <pivotField showAll="0"/>
    <pivotField showAll="0">
      <items count="3">
        <item x="1"/>
        <item x="0"/>
        <item t="default"/>
      </items>
    </pivotField>
    <pivotField showAll="0"/>
    <pivotField axis="axisRow" showAll="0">
      <items count="21">
        <item x="11"/>
        <item h="1" x="7"/>
        <item h="1" x="0"/>
        <item h="1" x="8"/>
        <item h="1" x="4"/>
        <item h="1" x="12"/>
        <item h="1" x="5"/>
        <item h="1" x="6"/>
        <item h="1" x="10"/>
        <item h="1" x="2"/>
        <item h="1" x="9"/>
        <item h="1" x="13"/>
        <item h="1" x="14"/>
        <item h="1" x="1"/>
        <item h="1" x="3"/>
        <item f="1" x="15"/>
        <item f="1" x="16"/>
        <item f="1" x="17"/>
        <item f="1" x="18"/>
        <item f="1" x="19"/>
        <item t="default"/>
      </items>
    </pivotField>
  </pivotFields>
  <rowFields count="1">
    <field x="22"/>
  </rowFields>
  <rowItems count="7">
    <i>
      <x/>
    </i>
    <i>
      <x v="15"/>
    </i>
    <i>
      <x v="16"/>
    </i>
    <i>
      <x v="17"/>
    </i>
    <i>
      <x v="18"/>
    </i>
    <i>
      <x v="19"/>
    </i>
    <i t="grand">
      <x/>
    </i>
  </rowItems>
  <colItems count="1">
    <i/>
  </colItem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5772A-54B6-4821-91F2-1B24474D41A0}"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B17" firstHeaderRow="1" firstDataRow="1" firstDataCol="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showAll="0"/>
    <pivotField showAll="0"/>
    <pivotField showAll="0"/>
    <pivotField showAll="0"/>
    <pivotField showAll="0"/>
    <pivotField axis="axisRow" showAll="0">
      <items count="4">
        <item x="2"/>
        <item x="0"/>
        <item x="1"/>
        <item t="default"/>
      </items>
    </pivotField>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5"/>
        <item x="3"/>
        <item x="1"/>
        <item f="1" x="6"/>
        <item f="1" x="7"/>
        <item t="default"/>
      </items>
    </pivotField>
    <pivotField showAll="0"/>
    <pivotField showAll="0"/>
    <pivotField showAll="0"/>
    <pivotField showAll="0">
      <items count="3">
        <item x="1"/>
        <item x="0"/>
        <item t="default"/>
      </items>
    </pivotField>
    <pivotField showAll="0"/>
    <pivotField showAll="0">
      <items count="21">
        <item x="11"/>
        <item x="7"/>
        <item x="0"/>
        <item x="8"/>
        <item x="4"/>
        <item x="12"/>
        <item x="5"/>
        <item x="6"/>
        <item x="10"/>
        <item x="2"/>
        <item x="9"/>
        <item x="13"/>
        <item x="14"/>
        <item x="1"/>
        <item x="3"/>
        <item f="1" x="15"/>
        <item f="1" x="16"/>
        <item f="1" x="17"/>
        <item f="1" x="18"/>
        <item f="1" x="19"/>
        <item t="default"/>
      </items>
    </pivotField>
  </pivotFields>
  <rowFields count="1">
    <field x="7"/>
  </rowFields>
  <rowItems count="4">
    <i>
      <x/>
    </i>
    <i>
      <x v="1"/>
    </i>
    <i>
      <x v="2"/>
    </i>
    <i t="grand">
      <x/>
    </i>
  </rowItems>
  <colItems count="1">
    <i/>
  </colItem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CD1FD-99CD-43C7-B27C-C0978A2C48EB}"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showAll="0"/>
    <pivotField showAll="0"/>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5"/>
        <item x="3"/>
        <item x="1"/>
        <item f="1" x="6"/>
        <item f="1" x="7"/>
        <item t="default"/>
      </items>
    </pivotField>
    <pivotField showAll="0"/>
    <pivotField showAll="0"/>
    <pivotField showAll="0"/>
    <pivotField showAll="0">
      <items count="3">
        <item x="1"/>
        <item x="0"/>
        <item t="default"/>
      </items>
    </pivotField>
    <pivotField showAll="0"/>
    <pivotField showAll="0">
      <items count="21">
        <item x="11"/>
        <item x="7"/>
        <item x="0"/>
        <item x="8"/>
        <item x="4"/>
        <item x="12"/>
        <item x="5"/>
        <item x="6"/>
        <item x="10"/>
        <item x="2"/>
        <item x="9"/>
        <item x="13"/>
        <item x="14"/>
        <item x="1"/>
        <item x="3"/>
        <item f="1" x="15"/>
        <item f="1" x="16"/>
        <item f="1" x="17"/>
        <item f="1" x="18"/>
        <item f="1" x="19"/>
        <item t="default"/>
      </items>
    </pivotField>
  </pivotFields>
  <rowItems count="1">
    <i/>
  </rowItems>
  <colItems count="1">
    <i/>
  </colItem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6E722C-CA5F-4732-89D6-0F8BBE492BA8}"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6" firstHeaderRow="1" firstDataRow="1" firstDataCol="1" rowPageCount="1" colPageCount="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axis="axisRow" showAll="0">
      <items count="13">
        <item x="0"/>
        <item x="1"/>
        <item x="2"/>
        <item x="3"/>
        <item x="4"/>
        <item x="5"/>
        <item x="7"/>
        <item x="6"/>
        <item x="8"/>
        <item x="9"/>
        <item x="10"/>
        <item x="11"/>
        <item t="default"/>
      </items>
    </pivotField>
    <pivotField axis="axisPage" showAll="0">
      <items count="3">
        <item x="0"/>
        <item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5"/>
        <item x="3"/>
        <item x="1"/>
        <item f="1" x="6"/>
        <item f="1" x="7"/>
        <item t="default"/>
      </items>
    </pivotField>
    <pivotField showAll="0"/>
    <pivotField showAll="0"/>
    <pivotField showAll="0"/>
    <pivotField showAll="0">
      <items count="3">
        <item x="1"/>
        <item x="0"/>
        <item t="default"/>
      </items>
    </pivotField>
    <pivotField showAll="0"/>
    <pivotField showAll="0">
      <items count="21">
        <item x="11"/>
        <item f="1" x="15"/>
        <item x="7"/>
        <item x="0"/>
        <item f="1" x="16"/>
        <item x="8"/>
        <item x="4"/>
        <item x="12"/>
        <item f="1" x="18"/>
        <item x="5"/>
        <item x="6"/>
        <item x="10"/>
        <item x="2"/>
        <item x="9"/>
        <item f="1" x="19"/>
        <item x="13"/>
        <item x="14"/>
        <item x="1"/>
        <item f="1" x="17"/>
        <item x="3"/>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3" item="0" hier="-1"/>
  </pageField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6154A3-A9EA-466B-890C-323DDD954216}"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2:B29" firstHeaderRow="1" firstDataRow="1" firstDataCol="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showAll="0"/>
    <pivotField showAll="0"/>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5"/>
        <item x="3"/>
        <item x="1"/>
        <item f="1" x="6"/>
        <item f="1" x="7"/>
        <item t="default"/>
      </items>
    </pivotField>
    <pivotField axis="axisRow" showAll="0" sortType="ascending">
      <items count="7">
        <item x="2"/>
        <item x="5"/>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items count="21">
        <item x="11"/>
        <item f="1" x="15"/>
        <item x="7"/>
        <item x="0"/>
        <item f="1" x="16"/>
        <item x="8"/>
        <item x="4"/>
        <item x="12"/>
        <item f="1" x="18"/>
        <item x="5"/>
        <item x="6"/>
        <item x="10"/>
        <item x="2"/>
        <item x="9"/>
        <item f="1" x="19"/>
        <item x="13"/>
        <item x="14"/>
        <item x="1"/>
        <item f="1" x="17"/>
        <item x="3"/>
        <item t="default"/>
      </items>
    </pivotField>
  </pivotFields>
  <rowFields count="1">
    <field x="17"/>
  </rowFields>
  <rowItems count="7">
    <i>
      <x v="1"/>
    </i>
    <i>
      <x v="5"/>
    </i>
    <i>
      <x v="2"/>
    </i>
    <i>
      <x v="3"/>
    </i>
    <i>
      <x/>
    </i>
    <i>
      <x v="4"/>
    </i>
    <i t="grand">
      <x/>
    </i>
  </rowItems>
  <colItems count="1">
    <i/>
  </colItems>
  <dataFields count="1">
    <dataField name="Sum of Number_of_Casualties" fld="13" baseField="0" baseItem="0"/>
  </dataFields>
  <formats count="1">
    <format dxfId="1">
      <pivotArea collapsedLevelsAreSubtotals="1" fieldPosition="0">
        <references count="1">
          <reference field="17"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886DA6-53D3-433B-9031-267C08481941}"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F16" firstHeaderRow="1" firstDataRow="1" firstDataCol="1" rowPageCount="1" colPageCount="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axis="axisRow" showAll="0">
      <items count="13">
        <item x="0"/>
        <item x="1"/>
        <item x="2"/>
        <item x="3"/>
        <item x="4"/>
        <item x="5"/>
        <item x="7"/>
        <item x="6"/>
        <item x="8"/>
        <item x="9"/>
        <item x="10"/>
        <item x="11"/>
        <item t="default"/>
      </items>
    </pivotField>
    <pivotField axis="axisPage" showAll="0">
      <items count="3">
        <item x="0"/>
        <item x="1"/>
        <item t="default"/>
      </items>
    </pivotField>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5"/>
        <item x="3"/>
        <item x="1"/>
        <item f="1" x="6"/>
        <item f="1" x="7"/>
        <item t="default"/>
      </items>
    </pivotField>
    <pivotField showAll="0"/>
    <pivotField showAll="0"/>
    <pivotField showAll="0"/>
    <pivotField showAll="0">
      <items count="3">
        <item x="1"/>
        <item x="0"/>
        <item t="default"/>
      </items>
    </pivotField>
    <pivotField showAll="0"/>
    <pivotField showAll="0">
      <items count="21">
        <item x="11"/>
        <item f="1" x="15"/>
        <item x="7"/>
        <item x="0"/>
        <item f="1" x="16"/>
        <item x="8"/>
        <item x="4"/>
        <item x="12"/>
        <item f="1" x="18"/>
        <item x="5"/>
        <item x="6"/>
        <item x="10"/>
        <item x="2"/>
        <item x="9"/>
        <item f="1" x="19"/>
        <item x="13"/>
        <item x="14"/>
        <item x="1"/>
        <item f="1" x="17"/>
        <item x="3"/>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3" item="1" hier="-1"/>
  </pageField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3F54E3-6F65-4E89-AAE8-3EA8B59628CE}"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7:B20" firstHeaderRow="1" firstDataRow="1" firstDataCol="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showAll="0"/>
    <pivotField showAll="0"/>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showAll="0">
      <items count="9">
        <item x="0"/>
        <item x="4"/>
        <item x="2"/>
        <item x="5"/>
        <item x="3"/>
        <item f="1" x="7"/>
        <item f="1" x="6"/>
        <item x="1"/>
        <item t="default"/>
      </items>
    </pivotField>
    <pivotField showAll="0"/>
    <pivotField showAll="0"/>
    <pivotField showAll="0"/>
    <pivotField axis="axisRow" showAll="0">
      <items count="3">
        <item x="1"/>
        <item x="0"/>
        <item t="default"/>
      </items>
    </pivotField>
    <pivotField showAll="0"/>
    <pivotField showAll="0">
      <items count="21">
        <item x="11"/>
        <item f="1" x="15"/>
        <item x="7"/>
        <item x="0"/>
        <item f="1" x="16"/>
        <item x="8"/>
        <item x="4"/>
        <item x="12"/>
        <item f="1" x="18"/>
        <item x="5"/>
        <item x="6"/>
        <item x="10"/>
        <item x="2"/>
        <item x="9"/>
        <item f="1" x="19"/>
        <item x="13"/>
        <item x="14"/>
        <item x="1"/>
        <item f="1" x="17"/>
        <item x="3"/>
        <item t="default"/>
      </items>
    </pivotField>
  </pivotFields>
  <rowFields count="1">
    <field x="20"/>
  </rowFields>
  <rowItems count="3">
    <i>
      <x/>
    </i>
    <i>
      <x v="1"/>
    </i>
    <i t="grand">
      <x/>
    </i>
  </rowItems>
  <colItems count="1">
    <i/>
  </colItems>
  <dataFields count="1">
    <dataField name="Sum of Number_of_Casualties" fld="13" baseField="0" baseItem="0"/>
  </dataFields>
  <formats count="1">
    <format dxfId="2">
      <pivotArea collapsedLevelsAreSubtotals="1" fieldPosition="0">
        <references count="1">
          <reference field="2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0" count="1" selected="0">
            <x v="0"/>
          </reference>
        </references>
      </pivotArea>
    </chartFormat>
    <chartFormat chart="3" format="6">
      <pivotArea type="data" outline="0" fieldPosition="0">
        <references count="2">
          <reference field="4294967294" count="1" selected="0">
            <x v="0"/>
          </reference>
          <reference field="20" count="1" selected="0">
            <x v="1"/>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ECC07A-63D6-47A4-9EDD-DB655EA75FAE}"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showAll="0"/>
    <pivotField showAll="0"/>
    <pivotField showAll="0"/>
    <pivotField showAll="0"/>
    <pivotField showAll="0"/>
    <pivotField showAll="0"/>
    <pivotField showAll="0"/>
    <pivotField showAll="0">
      <items count="7">
        <item x="2"/>
        <item x="1"/>
        <item x="3"/>
        <item x="4"/>
        <item x="0"/>
        <item f="1" x="5"/>
        <item t="default"/>
      </items>
    </pivotField>
    <pivotField showAll="0"/>
    <pivotField showAll="0"/>
    <pivotField showAll="0"/>
    <pivotField dataField="1" showAll="0"/>
    <pivotField showAll="0"/>
    <pivotField showAll="0"/>
    <pivotField axis="axisRow" showAll="0">
      <items count="9">
        <item x="0"/>
        <item h="1" x="4"/>
        <item h="1" x="2"/>
        <item n="Others" x="5"/>
        <item h="1" x="3"/>
        <item h="1" x="1"/>
        <item f="1" x="6"/>
        <item f="1" x="7"/>
        <item t="default"/>
      </items>
    </pivotField>
    <pivotField showAll="0"/>
    <pivotField showAll="0"/>
    <pivotField showAll="0"/>
    <pivotField showAll="0">
      <items count="3">
        <item x="1"/>
        <item x="0"/>
        <item t="default"/>
      </items>
    </pivotField>
    <pivotField showAll="0"/>
    <pivotField showAll="0">
      <items count="21">
        <item x="11"/>
        <item f="1" x="15"/>
        <item x="7"/>
        <item x="0"/>
        <item f="1" x="16"/>
        <item x="8"/>
        <item x="4"/>
        <item x="12"/>
        <item f="1" x="18"/>
        <item x="5"/>
        <item x="6"/>
        <item x="10"/>
        <item x="2"/>
        <item x="9"/>
        <item f="1" x="19"/>
        <item x="13"/>
        <item x="14"/>
        <item x="1"/>
        <item f="1" x="17"/>
        <item x="3"/>
        <item t="default"/>
      </items>
    </pivotField>
  </pivotFields>
  <rowFields count="1">
    <field x="16"/>
  </rowFields>
  <rowItems count="5">
    <i>
      <x/>
    </i>
    <i>
      <x v="3"/>
    </i>
    <i>
      <x v="6"/>
    </i>
    <i>
      <x v="7"/>
    </i>
    <i t="grand">
      <x/>
    </i>
  </rowItems>
  <colItems count="1">
    <i/>
  </colItems>
  <dataFields count="1">
    <dataField name="Sum of Number_of_Casualt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498A8C-6CF7-4B26-A0DC-CDE7C21EFA73}"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4:B27" firstHeaderRow="1" firstDataRow="1" firstDataCol="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showAll="0"/>
    <pivotField showAll="0"/>
    <pivotField showAll="0"/>
    <pivotField showAll="0"/>
    <pivotField showAll="0"/>
    <pivotField showAll="0"/>
    <pivotField showAll="0"/>
    <pivotField axis="axisRow" showAll="0">
      <items count="7">
        <item h="1" x="2"/>
        <item h="1" x="1"/>
        <item h="1" x="3"/>
        <item h="1" x="4"/>
        <item x="0"/>
        <item f="1" x="5"/>
        <item t="default"/>
      </items>
    </pivotField>
    <pivotField showAll="0"/>
    <pivotField showAll="0"/>
    <pivotField showAll="0"/>
    <pivotField dataField="1" showAll="0"/>
    <pivotField showAll="0"/>
    <pivotField showAll="0"/>
    <pivotField showAll="0">
      <items count="9">
        <item x="0"/>
        <item x="4"/>
        <item x="2"/>
        <item x="5"/>
        <item x="3"/>
        <item f="1" x="7"/>
        <item f="1" x="6"/>
        <item x="1"/>
        <item t="default"/>
      </items>
    </pivotField>
    <pivotField showAll="0"/>
    <pivotField showAll="0"/>
    <pivotField showAll="0"/>
    <pivotField showAll="0">
      <items count="3">
        <item x="1"/>
        <item x="0"/>
        <item t="default"/>
      </items>
    </pivotField>
    <pivotField showAll="0">
      <items count="10">
        <item x="4"/>
        <item x="0"/>
        <item x="8"/>
        <item x="6"/>
        <item x="1"/>
        <item x="5"/>
        <item x="2"/>
        <item x="7"/>
        <item x="3"/>
        <item t="default"/>
      </items>
    </pivotField>
    <pivotField showAll="0">
      <items count="21">
        <item x="11"/>
        <item f="1" x="15"/>
        <item x="7"/>
        <item x="0"/>
        <item f="1" x="16"/>
        <item x="8"/>
        <item x="4"/>
        <item x="12"/>
        <item f="1" x="18"/>
        <item x="5"/>
        <item x="6"/>
        <item x="10"/>
        <item x="2"/>
        <item x="9"/>
        <item f="1" x="19"/>
        <item x="13"/>
        <item x="14"/>
        <item x="1"/>
        <item f="1" x="17"/>
        <item x="3"/>
        <item t="default"/>
      </items>
    </pivotField>
  </pivotFields>
  <rowFields count="1">
    <field x="9"/>
  </rowFields>
  <rowItems count="3">
    <i>
      <x v="4"/>
    </i>
    <i>
      <x v="5"/>
    </i>
    <i t="grand">
      <x/>
    </i>
  </rowItems>
  <colItems count="1">
    <i/>
  </colItems>
  <dataFields count="1">
    <dataField name="Sum of Number_of_Casualties" fld="13"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4"/>
          </reference>
        </references>
      </pivotArea>
    </chartFormat>
    <chartFormat chart="3" format="6">
      <pivotArea type="data" outline="0" fieldPosition="0">
        <references count="2">
          <reference field="4294967294" count="1" selected="0">
            <x v="0"/>
          </reference>
          <reference field="9" count="1" selected="0">
            <x v="5"/>
          </reference>
        </references>
      </pivotArea>
    </chartFormat>
    <chartFormat chart="0" format="1">
      <pivotArea type="data" outline="0" fieldPosition="0">
        <references count="2">
          <reference field="4294967294" count="1" selected="0">
            <x v="0"/>
          </reference>
          <reference field="9" count="1" selected="0">
            <x v="4"/>
          </reference>
        </references>
      </pivotArea>
    </chartFormat>
    <chartFormat chart="0" format="2">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8E7111-FD73-4C3B-8B8C-403962CA344C}"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1" firstHeaderRow="1" firstDataRow="1" firstDataCol="1"/>
  <pivotFields count="23">
    <pivotField showAll="0"/>
    <pivotField numFmtId="14" showAll="0">
      <items count="731">
        <item x="0"/>
        <item x="5"/>
        <item x="363"/>
        <item x="2"/>
        <item x="1"/>
        <item x="3"/>
        <item x="6"/>
        <item x="4"/>
        <item x="10"/>
        <item x="7"/>
        <item x="325"/>
        <item x="9"/>
        <item x="324"/>
        <item x="286"/>
        <item x="23"/>
        <item x="8"/>
        <item x="11"/>
        <item x="36"/>
        <item x="14"/>
        <item x="22"/>
        <item x="16"/>
        <item x="17"/>
        <item x="25"/>
        <item x="319"/>
        <item x="12"/>
        <item x="13"/>
        <item x="15"/>
        <item x="21"/>
        <item x="20"/>
        <item x="27"/>
        <item x="18"/>
        <item x="320"/>
        <item x="321"/>
        <item x="19"/>
        <item x="322"/>
        <item x="57"/>
        <item x="287"/>
        <item x="37"/>
        <item x="323"/>
        <item x="24"/>
        <item x="26"/>
        <item x="51"/>
        <item x="28"/>
        <item x="288"/>
        <item x="30"/>
        <item x="33"/>
        <item x="29"/>
        <item x="44"/>
        <item x="31"/>
        <item x="326"/>
        <item x="34"/>
        <item x="32"/>
        <item x="39"/>
        <item x="38"/>
        <item x="55"/>
        <item x="48"/>
        <item x="40"/>
        <item x="35"/>
        <item x="50"/>
        <item x="52"/>
        <item x="47"/>
        <item x="42"/>
        <item x="41"/>
        <item x="291"/>
        <item x="43"/>
        <item x="327"/>
        <item x="328"/>
        <item x="45"/>
        <item x="46"/>
        <item x="297"/>
        <item x="289"/>
        <item x="53"/>
        <item x="49"/>
        <item x="329"/>
        <item x="290"/>
        <item x="54"/>
        <item x="64"/>
        <item x="73"/>
        <item x="56"/>
        <item x="58"/>
        <item x="71"/>
        <item x="60"/>
        <item x="59"/>
        <item x="61"/>
        <item x="70"/>
        <item x="62"/>
        <item x="63"/>
        <item x="72"/>
        <item x="65"/>
        <item x="67"/>
        <item x="66"/>
        <item x="292"/>
        <item x="68"/>
        <item x="294"/>
        <item x="330"/>
        <item x="69"/>
        <item x="295"/>
        <item x="74"/>
        <item x="75"/>
        <item x="77"/>
        <item x="331"/>
        <item x="76"/>
        <item x="332"/>
        <item x="79"/>
        <item x="78"/>
        <item x="83"/>
        <item x="80"/>
        <item x="333"/>
        <item x="334"/>
        <item x="81"/>
        <item x="296"/>
        <item x="82"/>
        <item x="86"/>
        <item x="87"/>
        <item x="84"/>
        <item x="85"/>
        <item x="88"/>
        <item x="293"/>
        <item x="89"/>
        <item x="90"/>
        <item x="92"/>
        <item x="98"/>
        <item x="91"/>
        <item x="102"/>
        <item x="101"/>
        <item x="95"/>
        <item x="96"/>
        <item x="93"/>
        <item x="335"/>
        <item x="94"/>
        <item x="336"/>
        <item x="298"/>
        <item x="97"/>
        <item x="299"/>
        <item x="99"/>
        <item x="106"/>
        <item x="108"/>
        <item x="100"/>
        <item x="103"/>
        <item x="109"/>
        <item x="104"/>
        <item x="112"/>
        <item x="105"/>
        <item x="337"/>
        <item x="338"/>
        <item x="107"/>
        <item x="339"/>
        <item x="110"/>
        <item x="113"/>
        <item x="122"/>
        <item x="115"/>
        <item x="117"/>
        <item x="116"/>
        <item x="114"/>
        <item x="300"/>
        <item x="119"/>
        <item x="118"/>
        <item x="340"/>
        <item x="120"/>
        <item x="121"/>
        <item x="125"/>
        <item x="123"/>
        <item x="124"/>
        <item x="341"/>
        <item x="128"/>
        <item x="127"/>
        <item x="126"/>
        <item x="129"/>
        <item x="131"/>
        <item x="130"/>
        <item x="132"/>
        <item x="139"/>
        <item x="301"/>
        <item x="134"/>
        <item x="141"/>
        <item x="137"/>
        <item x="135"/>
        <item x="138"/>
        <item x="136"/>
        <item x="140"/>
        <item x="111"/>
        <item x="146"/>
        <item x="142"/>
        <item x="143"/>
        <item x="145"/>
        <item x="144"/>
        <item x="150"/>
        <item x="147"/>
        <item x="149"/>
        <item x="152"/>
        <item x="148"/>
        <item x="151"/>
        <item x="305"/>
        <item x="154"/>
        <item x="153"/>
        <item x="156"/>
        <item x="155"/>
        <item x="302"/>
        <item x="158"/>
        <item x="159"/>
        <item x="157"/>
        <item x="162"/>
        <item x="161"/>
        <item x="160"/>
        <item x="303"/>
        <item x="164"/>
        <item x="163"/>
        <item x="168"/>
        <item x="165"/>
        <item x="166"/>
        <item x="304"/>
        <item x="176"/>
        <item x="169"/>
        <item x="167"/>
        <item x="342"/>
        <item x="170"/>
        <item x="171"/>
        <item x="173"/>
        <item x="172"/>
        <item x="175"/>
        <item x="174"/>
        <item x="177"/>
        <item x="306"/>
        <item x="178"/>
        <item x="179"/>
        <item x="133"/>
        <item x="185"/>
        <item x="180"/>
        <item x="182"/>
        <item x="181"/>
        <item x="343"/>
        <item x="184"/>
        <item x="183"/>
        <item x="344"/>
        <item x="187"/>
        <item x="186"/>
        <item x="307"/>
        <item x="345"/>
        <item x="188"/>
        <item x="190"/>
        <item x="346"/>
        <item x="308"/>
        <item x="189"/>
        <item x="199"/>
        <item x="192"/>
        <item x="193"/>
        <item x="191"/>
        <item x="310"/>
        <item x="194"/>
        <item x="347"/>
        <item x="195"/>
        <item x="196"/>
        <item x="202"/>
        <item x="348"/>
        <item x="198"/>
        <item x="349"/>
        <item x="197"/>
        <item x="205"/>
        <item x="206"/>
        <item x="200"/>
        <item x="350"/>
        <item x="201"/>
        <item x="351"/>
        <item x="204"/>
        <item x="203"/>
        <item x="209"/>
        <item x="309"/>
        <item x="207"/>
        <item x="211"/>
        <item x="208"/>
        <item x="210"/>
        <item x="217"/>
        <item x="212"/>
        <item x="214"/>
        <item x="213"/>
        <item x="215"/>
        <item x="221"/>
        <item x="312"/>
        <item x="216"/>
        <item x="311"/>
        <item x="222"/>
        <item x="219"/>
        <item x="220"/>
        <item x="352"/>
        <item x="218"/>
        <item x="223"/>
        <item x="353"/>
        <item x="224"/>
        <item x="232"/>
        <item x="226"/>
        <item x="225"/>
        <item x="227"/>
        <item x="228"/>
        <item x="233"/>
        <item x="229"/>
        <item x="230"/>
        <item x="231"/>
        <item x="354"/>
        <item x="234"/>
        <item x="355"/>
        <item x="235"/>
        <item x="238"/>
        <item x="236"/>
        <item x="243"/>
        <item x="237"/>
        <item x="241"/>
        <item x="239"/>
        <item x="240"/>
        <item x="244"/>
        <item x="245"/>
        <item x="242"/>
        <item x="357"/>
        <item x="356"/>
        <item x="246"/>
        <item x="247"/>
        <item x="248"/>
        <item x="249"/>
        <item x="358"/>
        <item x="250"/>
        <item x="252"/>
        <item x="251"/>
        <item x="317"/>
        <item x="254"/>
        <item x="318"/>
        <item x="359"/>
        <item x="360"/>
        <item x="253"/>
        <item x="316"/>
        <item x="255"/>
        <item x="260"/>
        <item x="315"/>
        <item x="256"/>
        <item x="264"/>
        <item x="257"/>
        <item x="258"/>
        <item x="262"/>
        <item x="259"/>
        <item x="261"/>
        <item x="266"/>
        <item x="278"/>
        <item x="263"/>
        <item x="265"/>
        <item x="269"/>
        <item x="270"/>
        <item x="267"/>
        <item x="271"/>
        <item x="268"/>
        <item x="272"/>
        <item x="277"/>
        <item x="274"/>
        <item x="273"/>
        <item x="275"/>
        <item x="276"/>
        <item x="281"/>
        <item x="279"/>
        <item x="280"/>
        <item x="314"/>
        <item x="282"/>
        <item x="364"/>
        <item x="313"/>
        <item x="362"/>
        <item x="283"/>
        <item x="361"/>
        <item x="285"/>
        <item x="284"/>
        <item x="663"/>
        <item x="367"/>
        <item x="370"/>
        <item x="368"/>
        <item x="371"/>
        <item x="697"/>
        <item x="372"/>
        <item x="695"/>
        <item x="696"/>
        <item x="378"/>
        <item x="365"/>
        <item x="366"/>
        <item x="374"/>
        <item x="375"/>
        <item x="373"/>
        <item x="662"/>
        <item x="376"/>
        <item x="369"/>
        <item x="377"/>
        <item x="380"/>
        <item x="665"/>
        <item x="698"/>
        <item x="664"/>
        <item x="379"/>
        <item x="385"/>
        <item x="381"/>
        <item x="383"/>
        <item x="382"/>
        <item x="384"/>
        <item x="699"/>
        <item x="386"/>
        <item x="700"/>
        <item x="387"/>
        <item x="389"/>
        <item x="390"/>
        <item x="388"/>
        <item x="395"/>
        <item x="701"/>
        <item x="391"/>
        <item x="392"/>
        <item x="666"/>
        <item x="393"/>
        <item x="394"/>
        <item x="396"/>
        <item x="397"/>
        <item x="400"/>
        <item x="399"/>
        <item x="401"/>
        <item x="403"/>
        <item x="404"/>
        <item x="402"/>
        <item x="406"/>
        <item x="407"/>
        <item x="405"/>
        <item x="408"/>
        <item x="409"/>
        <item x="667"/>
        <item x="702"/>
        <item x="398"/>
        <item x="703"/>
        <item x="414"/>
        <item x="411"/>
        <item x="416"/>
        <item x="410"/>
        <item x="415"/>
        <item x="412"/>
        <item x="413"/>
        <item x="704"/>
        <item x="417"/>
        <item x="671"/>
        <item x="419"/>
        <item x="421"/>
        <item x="420"/>
        <item x="418"/>
        <item x="422"/>
        <item x="670"/>
        <item x="424"/>
        <item x="426"/>
        <item x="423"/>
        <item x="669"/>
        <item x="436"/>
        <item x="425"/>
        <item x="427"/>
        <item x="428"/>
        <item x="430"/>
        <item x="429"/>
        <item x="431"/>
        <item x="668"/>
        <item x="435"/>
        <item x="432"/>
        <item x="433"/>
        <item x="446"/>
        <item x="705"/>
        <item x="448"/>
        <item x="437"/>
        <item x="434"/>
        <item x="439"/>
        <item x="440"/>
        <item x="443"/>
        <item x="442"/>
        <item x="441"/>
        <item x="447"/>
        <item x="444"/>
        <item x="445"/>
        <item x="461"/>
        <item x="438"/>
        <item x="467"/>
        <item x="706"/>
        <item x="672"/>
        <item x="673"/>
        <item x="450"/>
        <item x="451"/>
        <item x="449"/>
        <item x="452"/>
        <item x="707"/>
        <item x="453"/>
        <item x="458"/>
        <item x="460"/>
        <item x="454"/>
        <item x="456"/>
        <item x="455"/>
        <item x="466"/>
        <item x="469"/>
        <item x="457"/>
        <item x="459"/>
        <item x="463"/>
        <item x="462"/>
        <item x="465"/>
        <item x="464"/>
        <item x="468"/>
        <item x="470"/>
        <item x="471"/>
        <item x="472"/>
        <item x="474"/>
        <item x="708"/>
        <item x="473"/>
        <item x="475"/>
        <item x="674"/>
        <item x="476"/>
        <item x="477"/>
        <item x="489"/>
        <item x="709"/>
        <item x="478"/>
        <item x="480"/>
        <item x="479"/>
        <item x="481"/>
        <item x="482"/>
        <item x="486"/>
        <item x="485"/>
        <item x="483"/>
        <item x="487"/>
        <item x="484"/>
        <item x="491"/>
        <item x="488"/>
        <item x="675"/>
        <item x="710"/>
        <item x="490"/>
        <item x="492"/>
        <item x="493"/>
        <item x="510"/>
        <item x="494"/>
        <item x="495"/>
        <item x="496"/>
        <item x="711"/>
        <item x="503"/>
        <item x="676"/>
        <item x="498"/>
        <item x="497"/>
        <item x="500"/>
        <item x="499"/>
        <item x="501"/>
        <item x="502"/>
        <item x="505"/>
        <item x="506"/>
        <item x="504"/>
        <item x="515"/>
        <item x="508"/>
        <item x="509"/>
        <item x="507"/>
        <item x="523"/>
        <item x="513"/>
        <item x="514"/>
        <item x="511"/>
        <item x="521"/>
        <item x="524"/>
        <item x="512"/>
        <item x="531"/>
        <item x="516"/>
        <item x="520"/>
        <item x="518"/>
        <item x="712"/>
        <item x="517"/>
        <item x="519"/>
        <item x="522"/>
        <item x="682"/>
        <item x="532"/>
        <item x="528"/>
        <item x="525"/>
        <item x="526"/>
        <item x="713"/>
        <item x="536"/>
        <item x="527"/>
        <item x="529"/>
        <item x="530"/>
        <item x="681"/>
        <item x="728"/>
        <item x="680"/>
        <item x="533"/>
        <item x="534"/>
        <item x="539"/>
        <item x="537"/>
        <item x="535"/>
        <item x="541"/>
        <item x="714"/>
        <item x="545"/>
        <item x="677"/>
        <item x="538"/>
        <item x="543"/>
        <item x="715"/>
        <item x="542"/>
        <item x="540"/>
        <item x="547"/>
        <item x="551"/>
        <item x="544"/>
        <item x="546"/>
        <item x="716"/>
        <item x="683"/>
        <item x="678"/>
        <item x="679"/>
        <item x="548"/>
        <item x="552"/>
        <item x="550"/>
        <item x="717"/>
        <item x="549"/>
        <item x="553"/>
        <item x="684"/>
        <item x="554"/>
        <item x="561"/>
        <item x="718"/>
        <item x="557"/>
        <item x="556"/>
        <item x="685"/>
        <item x="555"/>
        <item x="575"/>
        <item x="563"/>
        <item x="558"/>
        <item x="719"/>
        <item x="559"/>
        <item x="578"/>
        <item x="560"/>
        <item x="564"/>
        <item x="562"/>
        <item x="571"/>
        <item x="566"/>
        <item x="565"/>
        <item x="720"/>
        <item x="568"/>
        <item x="567"/>
        <item x="572"/>
        <item x="581"/>
        <item x="569"/>
        <item x="570"/>
        <item x="576"/>
        <item x="573"/>
        <item x="582"/>
        <item x="577"/>
        <item x="580"/>
        <item x="579"/>
        <item x="574"/>
        <item x="686"/>
        <item x="687"/>
        <item x="584"/>
        <item x="583"/>
        <item x="585"/>
        <item x="586"/>
        <item x="587"/>
        <item x="588"/>
        <item x="688"/>
        <item x="589"/>
        <item x="597"/>
        <item x="591"/>
        <item x="595"/>
        <item x="590"/>
        <item x="592"/>
        <item x="691"/>
        <item x="596"/>
        <item x="594"/>
        <item x="604"/>
        <item x="598"/>
        <item x="690"/>
        <item x="593"/>
        <item x="689"/>
        <item x="601"/>
        <item x="611"/>
        <item x="610"/>
        <item x="599"/>
        <item x="603"/>
        <item x="600"/>
        <item x="605"/>
        <item x="602"/>
        <item x="606"/>
        <item x="607"/>
        <item x="609"/>
        <item x="721"/>
        <item x="608"/>
        <item x="613"/>
        <item x="612"/>
        <item x="634"/>
        <item x="616"/>
        <item x="618"/>
        <item x="621"/>
        <item x="614"/>
        <item x="627"/>
        <item x="615"/>
        <item x="619"/>
        <item x="620"/>
        <item x="623"/>
        <item x="617"/>
        <item x="622"/>
        <item x="628"/>
        <item x="626"/>
        <item x="625"/>
        <item x="646"/>
        <item x="624"/>
        <item x="722"/>
        <item x="632"/>
        <item x="635"/>
        <item x="630"/>
        <item x="629"/>
        <item x="640"/>
        <item x="631"/>
        <item x="633"/>
        <item x="648"/>
        <item x="644"/>
        <item x="654"/>
        <item x="723"/>
        <item x="642"/>
        <item x="641"/>
        <item x="636"/>
        <item x="637"/>
        <item x="638"/>
        <item x="639"/>
        <item x="643"/>
        <item x="649"/>
        <item x="645"/>
        <item x="653"/>
        <item x="650"/>
        <item x="652"/>
        <item x="647"/>
        <item x="651"/>
        <item x="693"/>
        <item x="724"/>
        <item x="694"/>
        <item x="655"/>
        <item x="657"/>
        <item x="692"/>
        <item x="659"/>
        <item x="656"/>
        <item x="729"/>
        <item x="727"/>
        <item x="660"/>
        <item x="661"/>
        <item x="725"/>
        <item x="726"/>
        <item x="658"/>
        <item t="default"/>
      </items>
    </pivotField>
    <pivotField showAll="0"/>
    <pivotField showAll="0"/>
    <pivotField axis="axisRow" showAll="0">
      <items count="8">
        <item x="2"/>
        <item x="1"/>
        <item x="3"/>
        <item x="5"/>
        <item x="0"/>
        <item x="4"/>
        <item x="6"/>
        <item t="default"/>
      </items>
    </pivotField>
    <pivotField showAll="0"/>
    <pivotField showAll="0"/>
    <pivotField showAll="0"/>
    <pivotField showAll="0"/>
    <pivotField showAll="0">
      <items count="7">
        <item f="1" x="5"/>
        <item x="2"/>
        <item x="1"/>
        <item x="3"/>
        <item x="4"/>
        <item x="0"/>
        <item t="default"/>
      </items>
    </pivotField>
    <pivotField showAll="0"/>
    <pivotField showAll="0"/>
    <pivotField showAll="0"/>
    <pivotField dataField="1" showAll="0"/>
    <pivotField showAll="0"/>
    <pivotField showAll="0"/>
    <pivotField showAll="0">
      <items count="9">
        <item x="0"/>
        <item x="4"/>
        <item x="2"/>
        <item x="5"/>
        <item x="3"/>
        <item f="1" x="7"/>
        <item f="1" x="6"/>
        <item x="1"/>
        <item t="default"/>
      </items>
    </pivotField>
    <pivotField showAll="0"/>
    <pivotField showAll="0"/>
    <pivotField showAll="0"/>
    <pivotField showAll="0">
      <items count="3">
        <item x="1"/>
        <item x="0"/>
        <item t="default"/>
      </items>
    </pivotField>
    <pivotField showAll="0"/>
    <pivotField showAll="0">
      <items count="21">
        <item x="11"/>
        <item f="1" x="15"/>
        <item x="7"/>
        <item x="0"/>
        <item f="1" x="16"/>
        <item x="8"/>
        <item x="4"/>
        <item x="12"/>
        <item f="1" x="18"/>
        <item x="5"/>
        <item x="6"/>
        <item x="10"/>
        <item x="2"/>
        <item x="9"/>
        <item f="1" x="19"/>
        <item x="13"/>
        <item x="14"/>
        <item x="1"/>
        <item f="1" x="17"/>
        <item x="3"/>
        <item t="default"/>
      </items>
    </pivotField>
  </pivotFields>
  <rowFields count="1">
    <field x="4"/>
  </rowFields>
  <rowItems count="8">
    <i>
      <x/>
    </i>
    <i>
      <x v="1"/>
    </i>
    <i>
      <x v="2"/>
    </i>
    <i>
      <x v="3"/>
    </i>
    <i>
      <x v="4"/>
    </i>
    <i>
      <x v="5"/>
    </i>
    <i>
      <x v="6"/>
    </i>
    <i t="grand">
      <x/>
    </i>
  </rowItems>
  <colItems count="1">
    <i/>
  </colItems>
  <dataFields count="1">
    <dataField name="Sum of Number_of_Casualties" fld="13" baseField="0" baseItem="0"/>
  </dataFields>
  <formats count="1">
    <format dxfId="0">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or_Rural_Area" xr10:uid="{63CEDD29-C1CE-44F3-A362-EF7DC3B7419A}" sourceName="Urban_or_Rural_Area">
  <pivotTables>
    <pivotTable tabId="3" name="PivotTable1"/>
    <pivotTable tabId="3" name="PivotTable2"/>
    <pivotTable tabId="3" name="PivotTable3"/>
    <pivotTable tabId="5" name="PivotTable1"/>
    <pivotTable tabId="5" name="PivotTable2"/>
    <pivotTable tabId="7" name="PivotTable4"/>
    <pivotTable tabId="12" name="PivotTable1"/>
    <pivotTable tabId="5" name="PivotTable3"/>
    <pivotTable tabId="7" name="PivotTable5"/>
    <pivotTable tabId="7" name="PivotTable6"/>
  </pivotTables>
  <data>
    <tabular pivotCacheId="9203150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rban_or_Rural_Area 2" xr10:uid="{47CA003D-9F64-486D-91F1-855C44DE3B16}" cache="Slicer_Urban_or_Rural_Area" caption="Area Type" style="Slicer Style 1"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ccident_Date" xr10:uid="{A202C11E-19AC-4142-8CAE-9C176082AD07}" sourceName="Accident Date">
  <pivotTables>
    <pivotTable tabId="3" name="PivotTable2"/>
    <pivotTable tabId="3" name="PivotTable1"/>
    <pivotTable tabId="3" name="PivotTable3"/>
    <pivotTable tabId="7" name="PivotTable4"/>
    <pivotTable tabId="12" name="PivotTable1"/>
    <pivotTable tabId="5" name="PivotTable1"/>
    <pivotTable tabId="5" name="PivotTable2"/>
    <pivotTable tabId="5" name="PivotTable3"/>
    <pivotTable tabId="7" name="PivotTable5"/>
    <pivotTable tabId="7" name="PivotTable6"/>
  </pivotTables>
  <state minimalRefreshVersion="6" lastRefreshVersion="6" pivotCacheId="920315021"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ccident Date 2" xr10:uid="{2383D9B0-5421-4448-8ABF-53D45D779D76}" cache="NativeTimeline_Accident_Date" caption="Select Period" level="0" selectionLevel="0" scrollPosition="2021-01-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2B834-EC1A-4CB4-B3A5-2EAC6F7C0AC2}">
  <dimension ref="A3:G39"/>
  <sheetViews>
    <sheetView workbookViewId="0">
      <selection activeCell="A4" sqref="A4"/>
    </sheetView>
  </sheetViews>
  <sheetFormatPr defaultRowHeight="15.6" x14ac:dyDescent="0.3"/>
  <cols>
    <col min="1" max="2" width="26.59765625" bestFit="1" customWidth="1"/>
    <col min="4" max="4" width="14.19921875" bestFit="1" customWidth="1"/>
    <col min="6" max="7" width="10.09765625" bestFit="1" customWidth="1"/>
  </cols>
  <sheetData>
    <row r="3" spans="1:7" x14ac:dyDescent="0.3">
      <c r="A3" t="s">
        <v>23</v>
      </c>
    </row>
    <row r="4" spans="1:7" x14ac:dyDescent="0.3">
      <c r="A4" s="8">
        <v>417883</v>
      </c>
      <c r="B4">
        <f>GETPIVOTDATA("Number_of_Casualties",$A$3)</f>
        <v>417883</v>
      </c>
    </row>
    <row r="13" spans="1:7" x14ac:dyDescent="0.3">
      <c r="A13" s="1" t="s">
        <v>24</v>
      </c>
      <c r="B13" t="s">
        <v>23</v>
      </c>
      <c r="D13" s="3" t="s">
        <v>26</v>
      </c>
      <c r="G13" t="s">
        <v>28</v>
      </c>
    </row>
    <row r="14" spans="1:7" x14ac:dyDescent="0.3">
      <c r="A14" s="2" t="s">
        <v>19</v>
      </c>
      <c r="B14">
        <v>7135</v>
      </c>
      <c r="D14" t="s">
        <v>19</v>
      </c>
      <c r="E14">
        <f>GETPIVOTDATA("Number_of_Casualties",$A$13,"Accident_Severity","Fatal")</f>
        <v>7135</v>
      </c>
      <c r="G14" s="4">
        <f>E14/($E$14+$E$15)</f>
        <v>1.7074157120533739E-2</v>
      </c>
    </row>
    <row r="15" spans="1:7" x14ac:dyDescent="0.3">
      <c r="A15" s="2" t="s">
        <v>1</v>
      </c>
      <c r="B15">
        <v>59312</v>
      </c>
      <c r="D15" t="s">
        <v>27</v>
      </c>
      <c r="E15">
        <f>GETPIVOTDATA("Number_of_Casualties",$A$13,"Accident_Severity","Serious")+GETPIVOTDATA("Number_of_Casualties",$A$13,"Accident_Severity","Slight")</f>
        <v>410748</v>
      </c>
      <c r="G15" s="4">
        <f>E15/($E$14+$E$15)</f>
        <v>0.98292584287946627</v>
      </c>
    </row>
    <row r="16" spans="1:7" x14ac:dyDescent="0.3">
      <c r="A16" s="2" t="s">
        <v>10</v>
      </c>
      <c r="B16">
        <v>351436</v>
      </c>
      <c r="G16" s="4"/>
    </row>
    <row r="17" spans="1:7" x14ac:dyDescent="0.3">
      <c r="A17" s="2" t="s">
        <v>25</v>
      </c>
      <c r="B17">
        <v>417883</v>
      </c>
      <c r="D17" s="3" t="s">
        <v>29</v>
      </c>
      <c r="G17" s="4"/>
    </row>
    <row r="18" spans="1:7" x14ac:dyDescent="0.3">
      <c r="D18" t="s">
        <v>1</v>
      </c>
      <c r="E18">
        <f>GETPIVOTDATA("Number_of_Casualties",$A$13,"Accident_Severity","Serious")</f>
        <v>59312</v>
      </c>
      <c r="G18" s="4">
        <f>E18/($E$18+$E$19)</f>
        <v>0.14193446491003461</v>
      </c>
    </row>
    <row r="19" spans="1:7" x14ac:dyDescent="0.3">
      <c r="D19" t="s">
        <v>27</v>
      </c>
      <c r="E19">
        <f>GETPIVOTDATA("Number_of_Casualties",$A$13,"Accident_Severity","Fatal")+GETPIVOTDATA("Number_of_Casualties",$A$13,"Accident_Severity","Slight")</f>
        <v>358571</v>
      </c>
      <c r="G19" s="4">
        <f>E19/($E$18+$E$19)</f>
        <v>0.85806553508996541</v>
      </c>
    </row>
    <row r="20" spans="1:7" x14ac:dyDescent="0.3">
      <c r="G20" s="4"/>
    </row>
    <row r="21" spans="1:7" x14ac:dyDescent="0.3">
      <c r="D21" s="3" t="s">
        <v>30</v>
      </c>
      <c r="G21" s="4"/>
    </row>
    <row r="22" spans="1:7" x14ac:dyDescent="0.3">
      <c r="D22" t="s">
        <v>10</v>
      </c>
      <c r="E22">
        <f>GETPIVOTDATA("Number_of_Casualties",$A$13,"Accident_Severity","Slight")</f>
        <v>351436</v>
      </c>
      <c r="G22" s="4">
        <f>E22/($E$22+$E$23)</f>
        <v>0.84099137796943169</v>
      </c>
    </row>
    <row r="23" spans="1:7" x14ac:dyDescent="0.3">
      <c r="D23" t="s">
        <v>27</v>
      </c>
      <c r="E23">
        <f>GETPIVOTDATA("Number_of_Casualties",$A$13,"Accident_Severity","Fatal")+GETPIVOTDATA("Number_of_Casualties",$A$13,"Accident_Severity","Serious")</f>
        <v>66447</v>
      </c>
      <c r="G23" s="4">
        <f>E23/($E$22+$E$23)</f>
        <v>0.15900862203056837</v>
      </c>
    </row>
    <row r="27" spans="1:7" x14ac:dyDescent="0.3">
      <c r="A27" s="1" t="s">
        <v>24</v>
      </c>
      <c r="B27" t="s">
        <v>23</v>
      </c>
      <c r="D27" t="s">
        <v>35</v>
      </c>
    </row>
    <row r="28" spans="1:7" x14ac:dyDescent="0.3">
      <c r="A28" s="2" t="s">
        <v>17</v>
      </c>
      <c r="B28">
        <v>1032</v>
      </c>
      <c r="C28">
        <f>GETPIVOTDATA("Number_of_Casualties",$A$27,"Vehicle_Type",A28)</f>
        <v>1032</v>
      </c>
      <c r="D28" t="s">
        <v>6</v>
      </c>
      <c r="E28">
        <f>GETPIVOTDATA("Number_of_Casualties",$A$27,"Vehicle_Type","Cars")</f>
        <v>333485</v>
      </c>
      <c r="G28" s="4">
        <f>E28/($E$28+$E$29)</f>
        <v>0.7980343780436151</v>
      </c>
    </row>
    <row r="29" spans="1:7" x14ac:dyDescent="0.3">
      <c r="A29" s="2" t="s">
        <v>31</v>
      </c>
      <c r="B29">
        <v>12798</v>
      </c>
      <c r="C29">
        <f t="shared" ref="C29:C33" si="0">GETPIVOTDATA("Number_of_Casualties",$A$27,"Vehicle_Type",A29)</f>
        <v>12798</v>
      </c>
      <c r="D29" t="s">
        <v>27</v>
      </c>
      <c r="E29">
        <f>GETPIVOTDATA("Number_of_Casualties",$A$27,"Vehicle_Type","Agricultural vehicle")+GETPIVOTDATA("Number_of_Casualties",$A$27,"Vehicle_Type","Bus")+GETPIVOTDATA("Number_of_Casualties",$A$27,"Vehicle_Type","Van")+GETPIVOTDATA("Number_of_Casualties",$A$27,"Vehicle_Type","Motorcycle")+GETPIVOTDATA("Number_of_Casualties",$A$27,"Vehicle_Type","Others")</f>
        <v>84398</v>
      </c>
      <c r="G29" s="4">
        <f>E29/($E$28+$E$29)</f>
        <v>0.20196562195638493</v>
      </c>
    </row>
    <row r="30" spans="1:7" x14ac:dyDescent="0.3">
      <c r="A30" s="2" t="s">
        <v>32</v>
      </c>
      <c r="B30">
        <v>333485</v>
      </c>
      <c r="C30">
        <f t="shared" si="0"/>
        <v>333485</v>
      </c>
    </row>
    <row r="31" spans="1:7" x14ac:dyDescent="0.3">
      <c r="A31" s="2" t="s">
        <v>33</v>
      </c>
      <c r="B31">
        <v>33472</v>
      </c>
      <c r="C31">
        <f t="shared" si="0"/>
        <v>33472</v>
      </c>
    </row>
    <row r="32" spans="1:7" x14ac:dyDescent="0.3">
      <c r="A32" s="2" t="s">
        <v>34</v>
      </c>
      <c r="B32">
        <v>33672</v>
      </c>
      <c r="C32">
        <f t="shared" si="0"/>
        <v>33672</v>
      </c>
    </row>
    <row r="33" spans="1:3" x14ac:dyDescent="0.3">
      <c r="A33" s="2" t="s">
        <v>27</v>
      </c>
      <c r="B33">
        <v>3424</v>
      </c>
      <c r="C33">
        <f t="shared" si="0"/>
        <v>3424</v>
      </c>
    </row>
    <row r="34" spans="1:3" x14ac:dyDescent="0.3">
      <c r="A34" s="2" t="s">
        <v>25</v>
      </c>
      <c r="B34">
        <v>417883</v>
      </c>
    </row>
    <row r="39" spans="1:3" x14ac:dyDescent="0.3">
      <c r="B39" t="s">
        <v>59</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C41ED-C064-424E-BC09-5F98BCD7509F}">
  <dimension ref="A1:K29"/>
  <sheetViews>
    <sheetView topLeftCell="A9" workbookViewId="0">
      <selection activeCell="B26" sqref="B26"/>
    </sheetView>
  </sheetViews>
  <sheetFormatPr defaultRowHeight="15.6" x14ac:dyDescent="0.3"/>
  <cols>
    <col min="1" max="1" width="12.296875" bestFit="1" customWidth="1"/>
    <col min="2" max="2" width="26.59765625" bestFit="1" customWidth="1"/>
    <col min="5" max="5" width="12.296875" bestFit="1" customWidth="1"/>
    <col min="6" max="6" width="26.59765625" bestFit="1" customWidth="1"/>
    <col min="9" max="9" width="10" bestFit="1" customWidth="1"/>
    <col min="10" max="11" width="13.69921875" bestFit="1" customWidth="1"/>
  </cols>
  <sheetData>
    <row r="1" spans="1:11" x14ac:dyDescent="0.3">
      <c r="A1" s="1" t="s">
        <v>22</v>
      </c>
      <c r="B1" t="s">
        <v>48</v>
      </c>
      <c r="E1" s="1" t="s">
        <v>22</v>
      </c>
      <c r="F1" t="s">
        <v>49</v>
      </c>
      <c r="I1" t="s">
        <v>50</v>
      </c>
      <c r="J1" t="s">
        <v>51</v>
      </c>
      <c r="K1" t="s">
        <v>52</v>
      </c>
    </row>
    <row r="2" spans="1:11" x14ac:dyDescent="0.3">
      <c r="I2" t="str">
        <f>A4</f>
        <v>January</v>
      </c>
      <c r="J2">
        <f>GETPIVOTDATA("Number_of_Casualties",$A$3,"Month",A4)</f>
        <v>18173</v>
      </c>
      <c r="K2">
        <f>GETPIVOTDATA("Number_of_Casualties",$E$3,"Month",E4)</f>
        <v>13163</v>
      </c>
    </row>
    <row r="3" spans="1:11" x14ac:dyDescent="0.3">
      <c r="A3" s="1" t="s">
        <v>24</v>
      </c>
      <c r="B3" t="s">
        <v>23</v>
      </c>
      <c r="E3" s="1" t="s">
        <v>24</v>
      </c>
      <c r="F3" t="s">
        <v>23</v>
      </c>
      <c r="I3" t="str">
        <f t="shared" ref="I3:I13" si="0">A5</f>
        <v>February</v>
      </c>
      <c r="J3">
        <f t="shared" ref="J3:J13" si="1">GETPIVOTDATA("Number_of_Casualties",$A$3,"Month",A5)</f>
        <v>14648</v>
      </c>
      <c r="K3">
        <f t="shared" ref="K3:K13" si="2">GETPIVOTDATA("Number_of_Casualties",$E$3,"Month",E5)</f>
        <v>14804</v>
      </c>
    </row>
    <row r="4" spans="1:11" x14ac:dyDescent="0.3">
      <c r="A4" s="2" t="s">
        <v>36</v>
      </c>
      <c r="B4">
        <v>18173</v>
      </c>
      <c r="E4" s="2" t="s">
        <v>36</v>
      </c>
      <c r="F4">
        <v>13163</v>
      </c>
      <c r="I4" t="str">
        <f t="shared" si="0"/>
        <v>March</v>
      </c>
      <c r="J4">
        <f t="shared" si="1"/>
        <v>17815</v>
      </c>
      <c r="K4">
        <f t="shared" si="2"/>
        <v>16575</v>
      </c>
    </row>
    <row r="5" spans="1:11" x14ac:dyDescent="0.3">
      <c r="A5" s="2" t="s">
        <v>37</v>
      </c>
      <c r="B5">
        <v>14648</v>
      </c>
      <c r="E5" s="2" t="s">
        <v>37</v>
      </c>
      <c r="F5">
        <v>14804</v>
      </c>
      <c r="I5" t="str">
        <f t="shared" si="0"/>
        <v>April</v>
      </c>
      <c r="J5">
        <f t="shared" si="1"/>
        <v>17335</v>
      </c>
      <c r="K5">
        <f t="shared" si="2"/>
        <v>15767</v>
      </c>
    </row>
    <row r="6" spans="1:11" x14ac:dyDescent="0.3">
      <c r="A6" s="2" t="s">
        <v>38</v>
      </c>
      <c r="B6">
        <v>17815</v>
      </c>
      <c r="E6" s="2" t="s">
        <v>38</v>
      </c>
      <c r="F6">
        <v>16575</v>
      </c>
      <c r="I6" t="str">
        <f t="shared" si="0"/>
        <v>May</v>
      </c>
      <c r="J6">
        <f t="shared" si="1"/>
        <v>18852</v>
      </c>
      <c r="K6">
        <f t="shared" si="2"/>
        <v>16775</v>
      </c>
    </row>
    <row r="7" spans="1:11" x14ac:dyDescent="0.3">
      <c r="A7" s="2" t="s">
        <v>39</v>
      </c>
      <c r="B7">
        <v>17335</v>
      </c>
      <c r="E7" s="2" t="s">
        <v>39</v>
      </c>
      <c r="F7">
        <v>15767</v>
      </c>
      <c r="I7" t="str">
        <f t="shared" si="0"/>
        <v>June</v>
      </c>
      <c r="J7">
        <f t="shared" si="1"/>
        <v>18728</v>
      </c>
      <c r="K7">
        <f t="shared" si="2"/>
        <v>17230</v>
      </c>
    </row>
    <row r="8" spans="1:11" x14ac:dyDescent="0.3">
      <c r="A8" s="2" t="s">
        <v>40</v>
      </c>
      <c r="B8">
        <v>18852</v>
      </c>
      <c r="E8" s="2" t="s">
        <v>40</v>
      </c>
      <c r="F8">
        <v>16775</v>
      </c>
      <c r="I8" t="str">
        <f t="shared" si="0"/>
        <v>July</v>
      </c>
      <c r="J8">
        <f t="shared" si="1"/>
        <v>19682</v>
      </c>
      <c r="K8">
        <f t="shared" si="2"/>
        <v>17201</v>
      </c>
    </row>
    <row r="9" spans="1:11" x14ac:dyDescent="0.3">
      <c r="A9" s="2" t="s">
        <v>41</v>
      </c>
      <c r="B9">
        <v>18728</v>
      </c>
      <c r="E9" s="2" t="s">
        <v>41</v>
      </c>
      <c r="F9">
        <v>17230</v>
      </c>
      <c r="I9" t="str">
        <f t="shared" si="0"/>
        <v>August</v>
      </c>
      <c r="J9">
        <f t="shared" si="1"/>
        <v>18797</v>
      </c>
      <c r="K9">
        <f t="shared" si="2"/>
        <v>16796</v>
      </c>
    </row>
    <row r="10" spans="1:11" x14ac:dyDescent="0.3">
      <c r="A10" s="2" t="s">
        <v>42</v>
      </c>
      <c r="B10">
        <v>19682</v>
      </c>
      <c r="E10" s="2" t="s">
        <v>42</v>
      </c>
      <c r="F10">
        <v>17201</v>
      </c>
      <c r="I10" t="str">
        <f t="shared" si="0"/>
        <v>September</v>
      </c>
      <c r="J10">
        <f t="shared" si="1"/>
        <v>18456</v>
      </c>
      <c r="K10">
        <f t="shared" si="2"/>
        <v>17500</v>
      </c>
    </row>
    <row r="11" spans="1:11" x14ac:dyDescent="0.3">
      <c r="A11" s="2" t="s">
        <v>43</v>
      </c>
      <c r="B11">
        <v>18797</v>
      </c>
      <c r="E11" s="2" t="s">
        <v>43</v>
      </c>
      <c r="F11">
        <v>16796</v>
      </c>
      <c r="I11" t="str">
        <f t="shared" si="0"/>
        <v>October</v>
      </c>
      <c r="J11">
        <f t="shared" si="1"/>
        <v>20109</v>
      </c>
      <c r="K11">
        <f t="shared" si="2"/>
        <v>18287</v>
      </c>
    </row>
    <row r="12" spans="1:11" x14ac:dyDescent="0.3">
      <c r="A12" s="2" t="s">
        <v>44</v>
      </c>
      <c r="B12">
        <v>18456</v>
      </c>
      <c r="E12" s="2" t="s">
        <v>44</v>
      </c>
      <c r="F12">
        <v>17500</v>
      </c>
      <c r="I12" t="str">
        <f t="shared" si="0"/>
        <v>November</v>
      </c>
      <c r="J12">
        <f t="shared" si="1"/>
        <v>20975</v>
      </c>
      <c r="K12">
        <f t="shared" si="2"/>
        <v>18439</v>
      </c>
    </row>
    <row r="13" spans="1:11" x14ac:dyDescent="0.3">
      <c r="A13" s="2" t="s">
        <v>45</v>
      </c>
      <c r="B13">
        <v>20109</v>
      </c>
      <c r="E13" s="2" t="s">
        <v>45</v>
      </c>
      <c r="F13">
        <v>18287</v>
      </c>
      <c r="I13" t="str">
        <f t="shared" si="0"/>
        <v>December</v>
      </c>
      <c r="J13">
        <f t="shared" si="1"/>
        <v>18576</v>
      </c>
      <c r="K13">
        <f t="shared" si="2"/>
        <v>13200</v>
      </c>
    </row>
    <row r="14" spans="1:11" x14ac:dyDescent="0.3">
      <c r="A14" s="2" t="s">
        <v>46</v>
      </c>
      <c r="B14">
        <v>20975</v>
      </c>
      <c r="E14" s="2" t="s">
        <v>46</v>
      </c>
      <c r="F14">
        <v>18439</v>
      </c>
    </row>
    <row r="15" spans="1:11" x14ac:dyDescent="0.3">
      <c r="A15" s="2" t="s">
        <v>47</v>
      </c>
      <c r="B15">
        <v>18576</v>
      </c>
      <c r="E15" s="2" t="s">
        <v>47</v>
      </c>
      <c r="F15">
        <v>13200</v>
      </c>
    </row>
    <row r="16" spans="1:11" x14ac:dyDescent="0.3">
      <c r="A16" s="2" t="s">
        <v>25</v>
      </c>
      <c r="B16">
        <v>222146</v>
      </c>
      <c r="E16" s="2" t="s">
        <v>25</v>
      </c>
      <c r="F16">
        <v>195737</v>
      </c>
    </row>
    <row r="20" spans="1:2" x14ac:dyDescent="0.3">
      <c r="A20" s="7" t="s">
        <v>60</v>
      </c>
      <c r="B20" s="7"/>
    </row>
    <row r="22" spans="1:2" x14ac:dyDescent="0.3">
      <c r="A22" s="1" t="s">
        <v>24</v>
      </c>
      <c r="B22" t="s">
        <v>23</v>
      </c>
    </row>
    <row r="23" spans="1:2" x14ac:dyDescent="0.3">
      <c r="A23" s="2" t="s">
        <v>21</v>
      </c>
      <c r="B23" s="5">
        <v>1921</v>
      </c>
    </row>
    <row r="24" spans="1:2" x14ac:dyDescent="0.3">
      <c r="A24" s="2" t="s">
        <v>18</v>
      </c>
      <c r="B24" s="5">
        <v>4679</v>
      </c>
    </row>
    <row r="25" spans="1:2" x14ac:dyDescent="0.3">
      <c r="A25" s="2" t="s">
        <v>4</v>
      </c>
      <c r="B25" s="5">
        <v>7389</v>
      </c>
    </row>
    <row r="26" spans="1:2" x14ac:dyDescent="0.3">
      <c r="A26" s="2" t="s">
        <v>16</v>
      </c>
      <c r="B26" s="5">
        <v>26828</v>
      </c>
    </row>
    <row r="27" spans="1:2" x14ac:dyDescent="0.3">
      <c r="A27" s="2" t="s">
        <v>13</v>
      </c>
      <c r="B27" s="5">
        <v>67368</v>
      </c>
    </row>
    <row r="28" spans="1:2" x14ac:dyDescent="0.3">
      <c r="A28" s="2" t="s">
        <v>8</v>
      </c>
      <c r="B28" s="5">
        <v>309698</v>
      </c>
    </row>
    <row r="29" spans="1:2" x14ac:dyDescent="0.3">
      <c r="A29" s="2" t="s">
        <v>25</v>
      </c>
      <c r="B29">
        <v>417883</v>
      </c>
    </row>
  </sheetData>
  <mergeCells count="1">
    <mergeCell ref="A20: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217B-0F27-42E6-AF9F-1410AC1A8D95}">
  <dimension ref="A3:E27"/>
  <sheetViews>
    <sheetView workbookViewId="0">
      <selection activeCell="E12" sqref="E12"/>
    </sheetView>
  </sheetViews>
  <sheetFormatPr defaultRowHeight="15.6" x14ac:dyDescent="0.3"/>
  <cols>
    <col min="1" max="1" width="12.296875" bestFit="1" customWidth="1"/>
    <col min="2" max="2" width="26.59765625" bestFit="1" customWidth="1"/>
    <col min="4" max="4" width="11.796875" bestFit="1" customWidth="1"/>
    <col min="5" max="5" width="14.59765625" bestFit="1" customWidth="1"/>
  </cols>
  <sheetData>
    <row r="3" spans="1:5" x14ac:dyDescent="0.3">
      <c r="A3" s="1" t="s">
        <v>24</v>
      </c>
      <c r="B3" t="s">
        <v>23</v>
      </c>
      <c r="D3" t="s">
        <v>55</v>
      </c>
      <c r="E3" t="s">
        <v>56</v>
      </c>
    </row>
    <row r="4" spans="1:5" x14ac:dyDescent="0.3">
      <c r="A4" s="2" t="s">
        <v>3</v>
      </c>
      <c r="B4">
        <v>279445</v>
      </c>
      <c r="D4" t="str">
        <f>A4</f>
        <v>Dry</v>
      </c>
      <c r="E4">
        <f>GETPIVOTDATA("Number_of_Casualties",$A$3,"Road_Surface_Conditions",A4)</f>
        <v>279445</v>
      </c>
    </row>
    <row r="5" spans="1:5" x14ac:dyDescent="0.3">
      <c r="A5" s="2" t="s">
        <v>27</v>
      </c>
      <c r="B5">
        <v>396</v>
      </c>
      <c r="D5" t="str">
        <f t="shared" ref="D5:D7" si="0">A5</f>
        <v>Others</v>
      </c>
      <c r="E5">
        <f t="shared" ref="E5:E7" si="1">GETPIVOTDATA("Number_of_Casualties",$A$3,"Road_Surface_Conditions",A5)</f>
        <v>396</v>
      </c>
    </row>
    <row r="6" spans="1:5" x14ac:dyDescent="0.3">
      <c r="A6" s="2" t="s">
        <v>53</v>
      </c>
      <c r="B6">
        <v>115261</v>
      </c>
      <c r="D6" t="str">
        <f t="shared" si="0"/>
        <v>Wet</v>
      </c>
      <c r="E6">
        <f t="shared" si="1"/>
        <v>115261</v>
      </c>
    </row>
    <row r="7" spans="1:5" x14ac:dyDescent="0.3">
      <c r="A7" s="2" t="s">
        <v>54</v>
      </c>
      <c r="B7">
        <v>22781</v>
      </c>
      <c r="D7" t="str">
        <f t="shared" si="0"/>
        <v>Snow/Ice</v>
      </c>
      <c r="E7">
        <f t="shared" si="1"/>
        <v>22781</v>
      </c>
    </row>
    <row r="8" spans="1:5" x14ac:dyDescent="0.3">
      <c r="A8" s="2" t="s">
        <v>25</v>
      </c>
      <c r="B8">
        <v>417883</v>
      </c>
    </row>
    <row r="15" spans="1:5" x14ac:dyDescent="0.3">
      <c r="A15" s="7" t="s">
        <v>61</v>
      </c>
      <c r="B15" s="7"/>
    </row>
    <row r="17" spans="1:2" x14ac:dyDescent="0.3">
      <c r="A17" s="1" t="s">
        <v>24</v>
      </c>
      <c r="B17" t="s">
        <v>23</v>
      </c>
    </row>
    <row r="18" spans="1:2" x14ac:dyDescent="0.3">
      <c r="A18" s="2" t="s">
        <v>20</v>
      </c>
      <c r="B18" s="5">
        <v>162019</v>
      </c>
    </row>
    <row r="19" spans="1:2" x14ac:dyDescent="0.3">
      <c r="A19" s="2" t="s">
        <v>5</v>
      </c>
      <c r="B19" s="5">
        <v>255864</v>
      </c>
    </row>
    <row r="20" spans="1:2" x14ac:dyDescent="0.3">
      <c r="A20" s="2" t="s">
        <v>25</v>
      </c>
      <c r="B20">
        <v>417883</v>
      </c>
    </row>
    <row r="24" spans="1:2" x14ac:dyDescent="0.3">
      <c r="A24" s="1" t="s">
        <v>24</v>
      </c>
      <c r="B24" t="s">
        <v>23</v>
      </c>
    </row>
    <row r="25" spans="1:2" x14ac:dyDescent="0.3">
      <c r="A25" s="2" t="s">
        <v>2</v>
      </c>
      <c r="B25">
        <v>304963</v>
      </c>
    </row>
    <row r="26" spans="1:2" x14ac:dyDescent="0.3">
      <c r="A26" s="2" t="s">
        <v>57</v>
      </c>
      <c r="B26">
        <v>112920</v>
      </c>
    </row>
    <row r="27" spans="1:2" x14ac:dyDescent="0.3">
      <c r="A27" s="2" t="s">
        <v>25</v>
      </c>
      <c r="B27">
        <v>417883</v>
      </c>
    </row>
  </sheetData>
  <mergeCells count="1">
    <mergeCell ref="A15: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9B29-7590-4EFD-A11B-CD721965B8F5}">
  <dimension ref="A3:B11"/>
  <sheetViews>
    <sheetView workbookViewId="0">
      <selection activeCell="K14" sqref="K14"/>
    </sheetView>
  </sheetViews>
  <sheetFormatPr defaultRowHeight="15.6" x14ac:dyDescent="0.3"/>
  <cols>
    <col min="1" max="1" width="12.296875" bestFit="1" customWidth="1"/>
    <col min="2" max="2" width="26.59765625" bestFit="1" customWidth="1"/>
  </cols>
  <sheetData>
    <row r="3" spans="1:2" x14ac:dyDescent="0.3">
      <c r="A3" s="1" t="s">
        <v>24</v>
      </c>
      <c r="B3" t="s">
        <v>23</v>
      </c>
    </row>
    <row r="4" spans="1:2" x14ac:dyDescent="0.3">
      <c r="A4" s="2" t="s">
        <v>9</v>
      </c>
      <c r="B4" s="5">
        <v>48858</v>
      </c>
    </row>
    <row r="5" spans="1:2" x14ac:dyDescent="0.3">
      <c r="A5" s="2" t="s">
        <v>7</v>
      </c>
      <c r="B5" s="5">
        <v>58473</v>
      </c>
    </row>
    <row r="6" spans="1:2" x14ac:dyDescent="0.3">
      <c r="A6" s="2" t="s">
        <v>11</v>
      </c>
      <c r="B6" s="5">
        <v>61278</v>
      </c>
    </row>
    <row r="7" spans="1:2" x14ac:dyDescent="0.3">
      <c r="A7" s="2" t="s">
        <v>14</v>
      </c>
      <c r="B7" s="5">
        <v>61339</v>
      </c>
    </row>
    <row r="8" spans="1:2" x14ac:dyDescent="0.3">
      <c r="A8" s="2" t="s">
        <v>0</v>
      </c>
      <c r="B8" s="5">
        <v>60551</v>
      </c>
    </row>
    <row r="9" spans="1:2" x14ac:dyDescent="0.3">
      <c r="A9" s="2" t="s">
        <v>12</v>
      </c>
      <c r="B9" s="5">
        <v>68294</v>
      </c>
    </row>
    <row r="10" spans="1:2" x14ac:dyDescent="0.3">
      <c r="A10" s="2" t="s">
        <v>15</v>
      </c>
      <c r="B10" s="5">
        <v>59090</v>
      </c>
    </row>
    <row r="11" spans="1:2" x14ac:dyDescent="0.3">
      <c r="A11" s="2" t="s">
        <v>25</v>
      </c>
      <c r="B11">
        <v>417883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2E929-DE17-416F-A729-B06058BBA3BF}">
  <dimension ref="Y18"/>
  <sheetViews>
    <sheetView showGridLines="0" tabSelected="1" zoomScale="70" zoomScaleNormal="70" workbookViewId="0">
      <selection activeCell="AA16" sqref="AA16"/>
    </sheetView>
  </sheetViews>
  <sheetFormatPr defaultRowHeight="15.6" x14ac:dyDescent="0.3"/>
  <cols>
    <col min="1" max="16384" width="8.796875" style="6"/>
  </cols>
  <sheetData>
    <row r="18" spans="25:25" x14ac:dyDescent="0.3">
      <c r="Y18" s="6" t="s">
        <v>58</v>
      </c>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keypoint</vt:lpstr>
      <vt:lpstr>monthly trend</vt:lpstr>
      <vt:lpstr>road surface</vt:lpstr>
      <vt:lpstr>accident frequency</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Sarjana D</cp:lastModifiedBy>
  <dcterms:created xsi:type="dcterms:W3CDTF">2023-03-17T05:12:54Z</dcterms:created>
  <dcterms:modified xsi:type="dcterms:W3CDTF">2026-05-17T11:56:45Z</dcterms:modified>
</cp:coreProperties>
</file>